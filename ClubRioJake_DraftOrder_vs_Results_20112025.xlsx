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ll Seasons" sheetId="2" state="visible" r:id="rId4"/>
    <sheet name="Season 2011" sheetId="3" state="visible" r:id="rId5"/>
    <sheet name="Season 2012" sheetId="4" state="visible" r:id="rId6"/>
    <sheet name="Season 2013" sheetId="5" state="visible" r:id="rId7"/>
    <sheet name="Season 2014" sheetId="6" state="visible" r:id="rId8"/>
    <sheet name="Season 2015" sheetId="7" state="visible" r:id="rId9"/>
    <sheet name="Season 2016" sheetId="8" state="visible" r:id="rId10"/>
    <sheet name="Season 2017" sheetId="9" state="visible" r:id="rId11"/>
    <sheet name="Season 2018" sheetId="10" state="visible" r:id="rId12"/>
    <sheet name="Season 2019" sheetId="11" state="visible" r:id="rId13"/>
    <sheet name="Season 2020" sheetId="12" state="visible" r:id="rId14"/>
    <sheet name="Season 2021" sheetId="13" state="visible" r:id="rId15"/>
    <sheet name="Season 2022" sheetId="14" state="visible" r:id="rId16"/>
    <sheet name="Season 2023" sheetId="15" state="visible" r:id="rId17"/>
    <sheet name="Season 2024" sheetId="16" state="visible" r:id="rId18"/>
    <sheet name="Season 2025" sheetId="17" state="visible" r:id="rId19"/>
    <sheet name="By Draft Slot" sheetId="18" state="visible" r:id="rId20"/>
    <sheet name="Correlations" sheetId="19" state="visible" r:id="rId21"/>
    <sheet name="Playoff Grid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Raw values (Season, Draft Slot, Team, Manager, W, L, T, Games, Points For, Final Finish) are transcribed from Yahoo's league history pages. Every other column is a formula. Green rows made the playoffs.</t>
        </r>
      </text>
    </comment>
  </commentList>
</comments>
</file>

<file path=xl/sharedStrings.xml><?xml version="1.0" encoding="utf-8"?>
<sst xmlns="http://schemas.openxmlformats.org/spreadsheetml/2006/main" count="817" uniqueCount="219">
  <si>
    <t xml:space="preserve">Club Rio Jake — Draft Order vs. Results, 2011-2025</t>
  </si>
  <si>
    <t xml:space="preserve">Yahoo Fantasy Football league #183003 (custom URL: clubriojake)</t>
  </si>
  <si>
    <t xml:space="preserve">WHAT THIS WORKBOOK ANSWERS</t>
  </si>
  <si>
    <t xml:space="preserve">Does where you pick in the draft predict how your season goes — in regular-season record, in total points scored, and in the playoffs?</t>
  </si>
  <si>
    <t xml:space="preserve">TABS</t>
  </si>
  <si>
    <t xml:space="preserve">All Seasons</t>
  </si>
  <si>
    <t xml:space="preserve">The single source of truth: 180 rows = 15 seasons x 12 teams. Every other tab reads from here by formula.</t>
  </si>
  <si>
    <t xml:space="preserve">Season 2011 ... Season 2025</t>
  </si>
  <si>
    <t xml:space="preserve">One tab per season, sorted by that season's draft slot (1st overall pick down to 12th).</t>
  </si>
  <si>
    <t xml:space="preserve">By Draft Slot</t>
  </si>
  <si>
    <t xml:space="preserve">All 15 seasons pooled and averaged by draft slot 1-12.</t>
  </si>
  <si>
    <t xml:space="preserve">Correlations</t>
  </si>
  <si>
    <t xml:space="preserve">Correlation between draft slot and each outcome, per season and overall.</t>
  </si>
  <si>
    <t xml:space="preserve">Playoff Grid</t>
  </si>
  <si>
    <t xml:space="preserve">Which draft slot finished 1st, 2nd, 3rd ... each season, plus championship counts by slot.</t>
  </si>
  <si>
    <t xml:space="preserve">HOW TO READ THE KEY COLUMNS</t>
  </si>
  <si>
    <t xml:space="preserve">Draft Slot</t>
  </si>
  <si>
    <t xml:space="preserve">Position in round 1 of that season's snake draft. 1 = first overall pick. Taken from Yahoo's Draft Results page (round 1 order).</t>
  </si>
  <si>
    <t xml:space="preserve">Win %</t>
  </si>
  <si>
    <t xml:space="preserve">(W + 0.5*T) / games played. Normalised because the league played 13 regular-season games 2011-2020 and 14 games 2021-2025.</t>
  </si>
  <si>
    <t xml:space="preserve">Points For</t>
  </si>
  <si>
    <t xml:space="preserve">Regular-season points scored, as shown in Yahoo's standings (PF column). Yahoo reports whole numbers for 2011-2018 and two decimals from 2019 on.</t>
  </si>
  <si>
    <t xml:space="preserve">Pts/Game</t>
  </si>
  <si>
    <t xml:space="preserve">Points For / games played. Use this rather than raw Points For when comparing across seasons.</t>
  </si>
  <si>
    <t xml:space="preserve">PF Rank</t>
  </si>
  <si>
    <t xml:space="preserve">Rank within that season by points scored, 1 = most points in the league that year.</t>
  </si>
  <si>
    <t xml:space="preserve">Final Finish</t>
  </si>
  <si>
    <t xml:space="preserve">Yahoo's end-of-season rank after the playoff and consolation brackets. 1 = league champion.</t>
  </si>
  <si>
    <t xml:space="preserve">Made Playoffs</t>
  </si>
  <si>
    <t xml:space="preserve">1 = qualified. The league has used a 12-team / 6-playoff-spot format in all 15 seasons, so Final Finish 1-6 is exactly the playoff field.</t>
  </si>
  <si>
    <t xml:space="preserve">IMPORTANT NOTES AND ASSUMPTIONS</t>
  </si>
  <si>
    <t xml:space="preserve">Team names change</t>
  </si>
  <si>
    <t xml:space="preserve">Managers rename teams between seasons. The Manager column is the constant — use it, not Team, to follow a franchise through time. Example: Cory = Big Red Machine (2011-17), Mean Machine (2018), Fournetflix n Chill (2019), Dark Shadows (2020-21), Fighting Mickeys (2022), Broken Rhules (2023-25).</t>
  </si>
  <si>
    <t xml:space="preserve">One roster handoff</t>
  </si>
  <si>
    <t xml:space="preserve">The name 'PappyVanDrinkle' belonged to Keith in 2023 and to Jace in 2024 — Yahoo carried the team name over to a new manager. Treated as two different franchises.</t>
  </si>
  <si>
    <t xml:space="preserve">Season length</t>
  </si>
  <si>
    <t xml:space="preserve">13 regular-season games 2011-2020; 14 games 2021-2025. Divisions also changed (3 divisions of 4, then 4 divisions of 3, then back).</t>
  </si>
  <si>
    <t xml:space="preserve">Correlation sign</t>
  </si>
  <si>
    <t xml:space="preserve">Win %, Points For and Pts/Game: a NEGATIVE correlation with draft slot means earlier picks did better. PF Rank and Final Finish are themselves ranks where 1 is best, so a POSITIVE correlation means earlier picks did better.</t>
  </si>
  <si>
    <t xml:space="preserve">Small samples</t>
  </si>
  <si>
    <t xml:space="preserve">15 observations per draft slot. Treat per-slot splits as trivia unless the correlation tab shows a low p-value; single-slot records swing hard on one or two seasons.</t>
  </si>
  <si>
    <t xml:space="preserve">SOURCE</t>
  </si>
  <si>
    <t xml:space="preserve">Yahoo Fantasy Football league pages, read directly from the league's own history: Standings tab (record / PF / final rank), Draft Results page (round 1 order), Managers page (team-to-manager mapping). Retrieved 13 Aug 2026.</t>
  </si>
  <si>
    <t xml:space="preserve">Season</t>
  </si>
  <si>
    <t xml:space="preserve">Team</t>
  </si>
  <si>
    <t xml:space="preserve">Manager</t>
  </si>
  <si>
    <t xml:space="preserve">W</t>
  </si>
  <si>
    <t xml:space="preserve">L</t>
  </si>
  <si>
    <t xml:space="preserve">T</t>
  </si>
  <si>
    <t xml:space="preserve">Games</t>
  </si>
  <si>
    <t xml:space="preserve">Record</t>
  </si>
  <si>
    <t xml:space="preserve">Champion</t>
  </si>
  <si>
    <t xml:space="preserve">Made Final</t>
  </si>
  <si>
    <t xml:space="preserve">Top-3 Finish</t>
  </si>
  <si>
    <t xml:space="preserve">Going Postal</t>
  </si>
  <si>
    <t xml:space="preserve">Steve</t>
  </si>
  <si>
    <t xml:space="preserve">Scott's Scabs</t>
  </si>
  <si>
    <t xml:space="preserve">Scott</t>
  </si>
  <si>
    <t xml:space="preserve">RedNecks</t>
  </si>
  <si>
    <t xml:space="preserve">Jim</t>
  </si>
  <si>
    <t xml:space="preserve">Big Red Machine</t>
  </si>
  <si>
    <t xml:space="preserve">Cory</t>
  </si>
  <si>
    <t xml:space="preserve">RedZone480</t>
  </si>
  <si>
    <t xml:space="preserve">Robert</t>
  </si>
  <si>
    <t xml:space="preserve">Donkey Punchers</t>
  </si>
  <si>
    <t xml:space="preserve">Barrett</t>
  </si>
  <si>
    <t xml:space="preserve">Closer</t>
  </si>
  <si>
    <t xml:space="preserve">Rick</t>
  </si>
  <si>
    <t xml:space="preserve">MochaMessiahMadeMe$$</t>
  </si>
  <si>
    <t xml:space="preserve">Keith</t>
  </si>
  <si>
    <t xml:space="preserve">Vandalay Industries</t>
  </si>
  <si>
    <t xml:space="preserve">John</t>
  </si>
  <si>
    <t xml:space="preserve">AssKickers</t>
  </si>
  <si>
    <t xml:space="preserve">Rob M</t>
  </si>
  <si>
    <t xml:space="preserve">Crackerman</t>
  </si>
  <si>
    <t xml:space="preserve">Michael M</t>
  </si>
  <si>
    <t xml:space="preserve">Spike's Chupacabras</t>
  </si>
  <si>
    <t xml:space="preserve">Spike</t>
  </si>
  <si>
    <t xml:space="preserve">CreepyAssCrackers</t>
  </si>
  <si>
    <t xml:space="preserve">Golden Taint</t>
  </si>
  <si>
    <t xml:space="preserve">Boda's Buttkickers</t>
  </si>
  <si>
    <t xml:space="preserve">Greg</t>
  </si>
  <si>
    <t xml:space="preserve">Ziggy Starfish</t>
  </si>
  <si>
    <t xml:space="preserve">#YouToo</t>
  </si>
  <si>
    <t xml:space="preserve">Eagles got a big Cox</t>
  </si>
  <si>
    <t xml:space="preserve">Brian C</t>
  </si>
  <si>
    <t xml:space="preserve">Mean Machine</t>
  </si>
  <si>
    <t xml:space="preserve">Fake News</t>
  </si>
  <si>
    <t xml:space="preserve">Fournetflix n Chill</t>
  </si>
  <si>
    <t xml:space="preserve">Yuge Loser(s)</t>
  </si>
  <si>
    <t xml:space="preserve">Dark Shadows</t>
  </si>
  <si>
    <t xml:space="preserve">nfl AROD mvp</t>
  </si>
  <si>
    <t xml:space="preserve">Nick</t>
  </si>
  <si>
    <t xml:space="preserve">Who'sUrDaddy</t>
  </si>
  <si>
    <t xml:space="preserve">Return of the Chinese Virus</t>
  </si>
  <si>
    <t xml:space="preserve">Pandora's Shit-Box</t>
  </si>
  <si>
    <t xml:space="preserve">Navin R. Johnson</t>
  </si>
  <si>
    <t xml:space="preserve">J</t>
  </si>
  <si>
    <t xml:space="preserve">PornStache</t>
  </si>
  <si>
    <t xml:space="preserve">Fighting Mickeys</t>
  </si>
  <si>
    <t xml:space="preserve">PappyVanDrinkle</t>
  </si>
  <si>
    <t xml:space="preserve">Broken Rhules</t>
  </si>
  <si>
    <t xml:space="preserve">Boof</t>
  </si>
  <si>
    <t xml:space="preserve">Pig 'N a Poke</t>
  </si>
  <si>
    <t xml:space="preserve">Newman</t>
  </si>
  <si>
    <t xml:space="preserve">David</t>
  </si>
  <si>
    <t xml:space="preserve">The Crytpo Cheetos</t>
  </si>
  <si>
    <t xml:space="preserve">Hold My Beer</t>
  </si>
  <si>
    <t xml:space="preserve">Jace</t>
  </si>
  <si>
    <t xml:space="preserve">Baba Yaga</t>
  </si>
  <si>
    <t xml:space="preserve">Glen</t>
  </si>
  <si>
    <t xml:space="preserve">Unemployeeofthemonth</t>
  </si>
  <si>
    <t xml:space="preserve">Donny's Pedo Protectors</t>
  </si>
  <si>
    <t xml:space="preserve">2011 season — ordered by draft slot</t>
  </si>
  <si>
    <t xml:space="preserve">13-game regular season · 12 teams · 6 playoff spots · pick 1 = first overall</t>
  </si>
  <si>
    <t xml:space="preserve">Made Playoffs?</t>
  </si>
  <si>
    <t xml:space="preserve">League total / average</t>
  </si>
  <si>
    <t xml:space="preserve">Correlation with draft slot (this season)</t>
  </si>
  <si>
    <t xml:space="preserve">PF Rank (1=most pts)</t>
  </si>
  <si>
    <t xml:space="preserve">Final Finish (1=champ)</t>
  </si>
  <si>
    <t xml:space="preserve">Negative on Win % / Pts-Game = earlier picks did better. Positive on PF Rank / Final Finish = earlier picks did better.</t>
  </si>
  <si>
    <t xml:space="preserve">2012 season — ordered by draft slot</t>
  </si>
  <si>
    <t xml:space="preserve">2013 season — ordered by draft slot</t>
  </si>
  <si>
    <t xml:space="preserve">2014 season — ordered by draft slot</t>
  </si>
  <si>
    <t xml:space="preserve">2015 season — ordered by draft slot</t>
  </si>
  <si>
    <t xml:space="preserve">2016 season — ordered by draft slot</t>
  </si>
  <si>
    <t xml:space="preserve">2017 season — ordered by draft slot</t>
  </si>
  <si>
    <t xml:space="preserve">2018 season — ordered by draft slot</t>
  </si>
  <si>
    <t xml:space="preserve">2019 season — ordered by draft slot</t>
  </si>
  <si>
    <t xml:space="preserve">2020 season — ordered by draft slot</t>
  </si>
  <si>
    <t xml:space="preserve">2021 season — ordered by draft slot</t>
  </si>
  <si>
    <t xml:space="preserve">14-game regular season · 12 teams · 6 playoff spots · pick 1 = first overall</t>
  </si>
  <si>
    <t xml:space="preserve">2022 season — ordered by draft slot</t>
  </si>
  <si>
    <t xml:space="preserve">2023 season — ordered by draft slot</t>
  </si>
  <si>
    <t xml:space="preserve">2024 season — ordered by draft slot</t>
  </si>
  <si>
    <t xml:space="preserve">2025 season — ordered by draft slot</t>
  </si>
  <si>
    <t xml:space="preserve">Pooled results by draft slot — all 15 seasons (2011-2025)</t>
  </si>
  <si>
    <t xml:space="preserve">Each slot has 15 observations. Everything below is a formula over the 'All Seasons' tab.</t>
  </si>
  <si>
    <t xml:space="preserve">Seasons</t>
  </si>
  <si>
    <t xml:space="preserve">Avg Win %</t>
  </si>
  <si>
    <t xml:space="preserve">Avg Wins per 14 games</t>
  </si>
  <si>
    <t xml:space="preserve">Avg Pts/Game</t>
  </si>
  <si>
    <t xml:space="preserve">Avg PF Rank</t>
  </si>
  <si>
    <t xml:space="preserve">Avg Final Finish</t>
  </si>
  <si>
    <t xml:space="preserve">Playoff Rate</t>
  </si>
  <si>
    <t xml:space="preserve">Playoff Berths</t>
  </si>
  <si>
    <t xml:space="preserve">Titles</t>
  </si>
  <si>
    <t xml:space="preserve">Finals</t>
  </si>
  <si>
    <t xml:space="preserve">Top-3 Finishes</t>
  </si>
  <si>
    <t xml:space="preserve">League avg</t>
  </si>
  <si>
    <t xml:space="preserve">Grouped by draft-slot bucket</t>
  </si>
  <si>
    <t xml:space="preserve">Bucket</t>
  </si>
  <si>
    <t xml:space="preserve">Team-seasons</t>
  </si>
  <si>
    <t xml:space="preserve">Early (slots 1-4)</t>
  </si>
  <si>
    <t xml:space="preserve">Middle (slots 5-8)</t>
  </si>
  <si>
    <t xml:space="preserve">Late (slots 9-12)</t>
  </si>
  <si>
    <t xml:space="preserve">Top half (slots 1-6) vs bottom half (slots 7-12)</t>
  </si>
  <si>
    <t xml:space="preserve">Half</t>
  </si>
  <si>
    <t xml:space="preserve">Slots 1-6</t>
  </si>
  <si>
    <t xml:space="preserve">Slots 7-12</t>
  </si>
  <si>
    <t xml:space="preserve">Note: with 15 seasons per slot, a two- or three-title edge for one slot is well inside coin-flip range. See the Correlations tab for significance.</t>
  </si>
  <si>
    <t xml:space="preserve">Correlation between draft slot and outcome</t>
  </si>
  <si>
    <t xml:space="preserve">Pearson correlation (Excel CORREL). Because draft slots are the integers 1-12 and PF Rank / Final Finish are themselves ranks, those two columns are also Spearman rank correlations.</t>
  </si>
  <si>
    <t xml:space="preserve">PF Rank (1=most)</t>
  </si>
  <si>
    <t xml:space="preserve">Champion's draft slot</t>
  </si>
  <si>
    <t xml:space="preserve">Playoff slots</t>
  </si>
  <si>
    <t xml:space="preserve">1, 2, 4, 5, 9, 12</t>
  </si>
  <si>
    <t xml:space="preserve">3, 6, 8, 9, 10, 12</t>
  </si>
  <si>
    <t xml:space="preserve">2, 4, 6, 9, 10, 11</t>
  </si>
  <si>
    <t xml:space="preserve">3, 5, 8, 9, 10, 11</t>
  </si>
  <si>
    <t xml:space="preserve">1, 2, 4, 7, 9, 10</t>
  </si>
  <si>
    <t xml:space="preserve">1, 3, 4, 5, 8, 11</t>
  </si>
  <si>
    <t xml:space="preserve">1, 3, 5, 9, 11, 12</t>
  </si>
  <si>
    <t xml:space="preserve">1, 3, 4, 8, 9, 12</t>
  </si>
  <si>
    <t xml:space="preserve">3, 4, 5, 8, 9, 10</t>
  </si>
  <si>
    <t xml:space="preserve">3, 5, 6, 9, 11, 12</t>
  </si>
  <si>
    <t xml:space="preserve">3, 4, 5, 7, 8, 10</t>
  </si>
  <si>
    <t xml:space="preserve">2, 3, 4, 5, 8, 12</t>
  </si>
  <si>
    <t xml:space="preserve">3, 5, 9, 10, 11, 12</t>
  </si>
  <si>
    <t xml:space="preserve">2, 3, 5, 6, 9, 11</t>
  </si>
  <si>
    <t xml:space="preserve">1, 2, 4, 6, 11, 12</t>
  </si>
  <si>
    <t xml:space="preserve">All 15 seasons pooled (n = 180 team-seasons)</t>
  </si>
  <si>
    <t xml:space="preserve">Pooled</t>
  </si>
  <si>
    <t xml:space="preserve">r</t>
  </si>
  <si>
    <t xml:space="preserve">r-squared</t>
  </si>
  <si>
    <t xml:space="preserve">Reading the signs: Win % and Pts/Game — negative r means earlier picks did better. PF Rank and Final Finish are ranks where 1 is best, so positive r means earlier picks did better.</t>
  </si>
  <si>
    <t xml:space="preserve">For n = 180, |r| must exceed roughly 0.15 to be significant at p &lt; 0.05. For a single season (n = 12), |r| must exceed roughly 0.58.</t>
  </si>
  <si>
    <t xml:space="preserve">Significance testing done in Python (scipy) alongside this workbook: none of the five pooled correlations is significant. Largest is Pts/Game at r = -0.10, p = 0.18.</t>
  </si>
  <si>
    <t xml:space="preserve">Playoff results vs draft slot</t>
  </si>
  <si>
    <t xml:space="preserve">Each cell shows the draft slot of the team that finished in that position. Positions 1-6 are the playoff field; 7-12 are the consolation bracket.</t>
  </si>
  <si>
    <t xml:space="preserve">1st</t>
  </si>
  <si>
    <t xml:space="preserve">2nd</t>
  </si>
  <si>
    <t xml:space="preserve">3rd</t>
  </si>
  <si>
    <t xml:space="preserve">4th</t>
  </si>
  <si>
    <t xml:space="preserve">5th</t>
  </si>
  <si>
    <t xml:space="preserve">6th</t>
  </si>
  <si>
    <t xml:space="preserve">7th</t>
  </si>
  <si>
    <t xml:space="preserve">8th</t>
  </si>
  <si>
    <t xml:space="preserve">9th</t>
  </si>
  <si>
    <t xml:space="preserve">10th</t>
  </si>
  <si>
    <t xml:space="preserve">11th</t>
  </si>
  <si>
    <t xml:space="preserve">12th</t>
  </si>
  <si>
    <t xml:space="preserve">Championship / playoff tally by draft slot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</si>
  <si>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</si>
  <si>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</si>
  <si>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</si>
  <si>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</si>
  <si>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</si>
  <si>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</si>
  <si>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</si>
  <si>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</si>
  <si>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</si>
  <si>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</si>
  <si>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</si>
  <si>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</si>
  <si>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Finals appearances</t>
  </si>
  <si>
    <t xml:space="preserve">Top-3 finishes</t>
  </si>
  <si>
    <t xml:space="preserve">Playoff berths (of 15)</t>
  </si>
  <si>
    <t xml:space="preserve">Slot 8 has won 5 of 15 titles and slot 7 has made the playoffs twice in 15 tries. Both are noise at this sample size — no draft slot has a real claim on the trophy.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</si>
</sst>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.00"/>
    <numFmt numFmtId="167" formatCode="0.0"/>
    <numFmt numFmtId="168" formatCode="0.000"/>
    <numFmt numFmtId="169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3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2F3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  <c r="B5" s="4"/>
    </row>
    <row r="6" customFormat="false" ht="15" hidden="false" customHeight="false" outlineLevel="0" collapsed="false">
      <c r="A6" s="3"/>
      <c r="B6" s="4" t="s">
        <v>3</v>
      </c>
    </row>
    <row r="7" customFormat="false" ht="15" hidden="false" customHeight="false" outlineLevel="0" collapsed="false">
      <c r="A7" s="3"/>
      <c r="B7" s="4"/>
    </row>
    <row r="8" customFormat="false" ht="15" hidden="false" customHeight="false" outlineLevel="0" collapsed="false">
      <c r="A8" s="5" t="s">
        <v>4</v>
      </c>
      <c r="B8" s="4"/>
    </row>
    <row r="9" customFormat="false" ht="15" hidden="false" customHeight="false" outlineLevel="0" collapsed="false">
      <c r="A9" s="3" t="s">
        <v>5</v>
      </c>
      <c r="B9" s="4" t="s">
        <v>6</v>
      </c>
    </row>
    <row r="10" customFormat="false" ht="15" hidden="false" customHeight="false" outlineLevel="0" collapsed="false">
      <c r="A10" s="3" t="s">
        <v>7</v>
      </c>
      <c r="B10" s="4" t="s">
        <v>8</v>
      </c>
    </row>
    <row r="11" customFormat="false" ht="15" hidden="false" customHeight="false" outlineLevel="0" collapsed="false">
      <c r="A11" s="3" t="s">
        <v>9</v>
      </c>
      <c r="B11" s="4" t="s">
        <v>10</v>
      </c>
    </row>
    <row r="12" customFormat="false" ht="15" hidden="false" customHeight="false" outlineLevel="0" collapsed="false">
      <c r="A12" s="3" t="s">
        <v>11</v>
      </c>
      <c r="B12" s="4" t="s">
        <v>12</v>
      </c>
    </row>
    <row r="13" customFormat="false" ht="15" hidden="false" customHeight="false" outlineLevel="0" collapsed="false">
      <c r="A13" s="3" t="s">
        <v>13</v>
      </c>
      <c r="B13" s="4" t="s">
        <v>14</v>
      </c>
    </row>
    <row r="14" customFormat="false" ht="15" hidden="false" customHeight="false" outlineLevel="0" collapsed="false">
      <c r="A14" s="3"/>
      <c r="B14" s="4"/>
    </row>
    <row r="15" customFormat="false" ht="15" hidden="false" customHeight="false" outlineLevel="0" collapsed="false">
      <c r="A15" s="5" t="s">
        <v>15</v>
      </c>
      <c r="B15" s="4"/>
    </row>
    <row r="16" customFormat="false" ht="15" hidden="false" customHeight="false" outlineLevel="0" collapsed="false">
      <c r="A16" s="3" t="s">
        <v>16</v>
      </c>
      <c r="B16" s="4" t="s">
        <v>17</v>
      </c>
    </row>
    <row r="17" customFormat="false" ht="15" hidden="false" customHeight="false" outlineLevel="0" collapsed="false">
      <c r="A17" s="3" t="s">
        <v>18</v>
      </c>
      <c r="B17" s="4" t="s">
        <v>19</v>
      </c>
    </row>
    <row r="18" customFormat="false" ht="23.85" hidden="false" customHeight="false" outlineLevel="0" collapsed="false">
      <c r="A18" s="3" t="s">
        <v>20</v>
      </c>
      <c r="B18" s="4" t="s">
        <v>21</v>
      </c>
    </row>
    <row r="19" customFormat="false" ht="15" hidden="false" customHeight="false" outlineLevel="0" collapsed="false">
      <c r="A19" s="3" t="s">
        <v>22</v>
      </c>
      <c r="B19" s="4" t="s">
        <v>23</v>
      </c>
    </row>
    <row r="20" customFormat="false" ht="15" hidden="false" customHeight="false" outlineLevel="0" collapsed="false">
      <c r="A20" s="3" t="s">
        <v>24</v>
      </c>
      <c r="B20" s="4" t="s">
        <v>25</v>
      </c>
    </row>
    <row r="21" customFormat="false" ht="15" hidden="false" customHeight="false" outlineLevel="0" collapsed="false">
      <c r="A21" s="3" t="s">
        <v>26</v>
      </c>
      <c r="B21" s="4" t="s">
        <v>27</v>
      </c>
    </row>
    <row r="22" customFormat="false" ht="15" hidden="false" customHeight="false" outlineLevel="0" collapsed="false">
      <c r="A22" s="3" t="s">
        <v>28</v>
      </c>
      <c r="B22" s="4" t="s">
        <v>29</v>
      </c>
    </row>
    <row r="23" customFormat="false" ht="15" hidden="false" customHeight="false" outlineLevel="0" collapsed="false">
      <c r="A23" s="3"/>
      <c r="B23" s="4"/>
    </row>
    <row r="24" customFormat="false" ht="15" hidden="false" customHeight="false" outlineLevel="0" collapsed="false">
      <c r="A24" s="5" t="s">
        <v>30</v>
      </c>
      <c r="B24" s="4"/>
    </row>
    <row r="25" customFormat="false" ht="35.05" hidden="false" customHeight="false" outlineLevel="0" collapsed="false">
      <c r="A25" s="3" t="s">
        <v>31</v>
      </c>
      <c r="B25" s="4" t="s">
        <v>32</v>
      </c>
    </row>
    <row r="26" customFormat="false" ht="23.85" hidden="false" customHeight="false" outlineLevel="0" collapsed="false">
      <c r="A26" s="3" t="s">
        <v>33</v>
      </c>
      <c r="B26" s="4" t="s">
        <v>34</v>
      </c>
    </row>
    <row r="27" customFormat="false" ht="15" hidden="false" customHeight="false" outlineLevel="0" collapsed="false">
      <c r="A27" s="3" t="s">
        <v>35</v>
      </c>
      <c r="B27" s="4" t="s">
        <v>36</v>
      </c>
    </row>
    <row r="28" customFormat="false" ht="23.85" hidden="false" customHeight="false" outlineLevel="0" collapsed="false">
      <c r="A28" s="3" t="s">
        <v>37</v>
      </c>
      <c r="B28" s="4" t="s">
        <v>38</v>
      </c>
    </row>
    <row r="29" customFormat="false" ht="23.85" hidden="false" customHeight="false" outlineLevel="0" collapsed="false">
      <c r="A29" s="3" t="s">
        <v>39</v>
      </c>
      <c r="B29" s="4" t="s">
        <v>40</v>
      </c>
    </row>
    <row r="30" customFormat="false" ht="15" hidden="false" customHeight="false" outlineLevel="0" collapsed="false">
      <c r="A30" s="3"/>
      <c r="B30" s="4"/>
    </row>
    <row r="31" customFormat="false" ht="23.85" hidden="false" customHeight="false" outlineLevel="0" collapsed="false">
      <c r="A31" s="3" t="s">
        <v>41</v>
      </c>
      <c r="B31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7" min="5" style="0" width="5"/>
    <col collapsed="false" customWidth="true" hidden="false" outlineLevel="0" max="8" min="8" style="0" width="7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8"/>
    <col collapsed="false" customWidth="true" hidden="false" outlineLevel="0" max="18" min="14" style="0" width="9"/>
  </cols>
  <sheetData>
    <row r="1" customFormat="false" ht="23.85" hidden="false" customHeight="false" outlineLevel="0" collapsed="false">
      <c r="A1" s="6" t="s">
        <v>43</v>
      </c>
      <c r="B1" s="6" t="s">
        <v>16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  <c r="I1" s="6" t="s">
        <v>50</v>
      </c>
      <c r="J1" s="6" t="s">
        <v>18</v>
      </c>
      <c r="K1" s="6" t="s">
        <v>20</v>
      </c>
      <c r="L1" s="6" t="s">
        <v>22</v>
      </c>
      <c r="M1" s="6" t="s">
        <v>24</v>
      </c>
      <c r="N1" s="6" t="s">
        <v>26</v>
      </c>
      <c r="O1" s="6" t="s">
        <v>28</v>
      </c>
      <c r="P1" s="6" t="s">
        <v>51</v>
      </c>
      <c r="Q1" s="6" t="s">
        <v>52</v>
      </c>
      <c r="R1" s="6" t="s">
        <v>53</v>
      </c>
    </row>
    <row r="2" customFormat="false" ht="15" hidden="false" customHeight="false" outlineLevel="0" collapsed="false">
      <c r="A2" s="7" t="n">
        <v>2011</v>
      </c>
      <c r="B2" s="7" t="n">
        <v>1</v>
      </c>
      <c r="C2" s="8" t="s">
        <v>54</v>
      </c>
      <c r="D2" s="8" t="s">
        <v>55</v>
      </c>
      <c r="E2" s="7" t="n">
        <v>6</v>
      </c>
      <c r="F2" s="7" t="n">
        <v>7</v>
      </c>
      <c r="G2" s="7" t="n">
        <v>0</v>
      </c>
      <c r="H2" s="7" t="n">
        <v>13</v>
      </c>
      <c r="I2" s="8" t="str">
        <f aca="false">E2&amp;"-"&amp;F2&amp;"-"&amp;G2</f>
        <v>6-7-0</v>
      </c>
      <c r="J2" s="9" t="n">
        <f aca="false">(E2+0.5*G2)/H2</f>
        <v>0.461538461538462</v>
      </c>
      <c r="K2" s="10" t="n">
        <v>1299</v>
      </c>
      <c r="L2" s="11" t="n">
        <f aca="false">K2/H2</f>
        <v>99.9230769230769</v>
      </c>
      <c r="M2" s="7" t="n">
        <f aca="false">SUMPRODUCT(($A$2:$A$181=A2)*($K$2:$K$181&gt;K2))+1</f>
        <v>6</v>
      </c>
      <c r="N2" s="7" t="n">
        <v>1</v>
      </c>
      <c r="O2" s="7" t="n">
        <f aca="false">IF(N2&lt;=6,1,0)</f>
        <v>1</v>
      </c>
      <c r="P2" s="7" t="n">
        <f aca="false">IF(N2=1,1,0)</f>
        <v>1</v>
      </c>
      <c r="Q2" s="7" t="n">
        <f aca="false">IF(N2&lt;=2,1,0)</f>
        <v>1</v>
      </c>
      <c r="R2" s="7" t="n">
        <f aca="false">IF(N2&lt;=3,1,0)</f>
        <v>1</v>
      </c>
    </row>
    <row r="3" customFormat="false" ht="15" hidden="false" customHeight="false" outlineLevel="0" collapsed="false">
      <c r="A3" s="7" t="n">
        <v>2011</v>
      </c>
      <c r="B3" s="7" t="n">
        <v>2</v>
      </c>
      <c r="C3" s="8" t="s">
        <v>56</v>
      </c>
      <c r="D3" s="8" t="s">
        <v>57</v>
      </c>
      <c r="E3" s="7" t="n">
        <v>11</v>
      </c>
      <c r="F3" s="7" t="n">
        <v>2</v>
      </c>
      <c r="G3" s="7" t="n">
        <v>0</v>
      </c>
      <c r="H3" s="7" t="n">
        <v>13</v>
      </c>
      <c r="I3" s="8" t="str">
        <f aca="false">E3&amp;"-"&amp;F3&amp;"-"&amp;G3</f>
        <v>11-2-0</v>
      </c>
      <c r="J3" s="9" t="n">
        <f aca="false">(E3+0.5*G3)/H3</f>
        <v>0.846153846153846</v>
      </c>
      <c r="K3" s="10" t="n">
        <v>1480</v>
      </c>
      <c r="L3" s="11" t="n">
        <f aca="false">K3/H3</f>
        <v>113.846153846154</v>
      </c>
      <c r="M3" s="7" t="n">
        <f aca="false">SUMPRODUCT(($A$2:$A$181=A3)*($K$2:$K$181&gt;K3))+1</f>
        <v>3</v>
      </c>
      <c r="N3" s="7" t="n">
        <v>2</v>
      </c>
      <c r="O3" s="7" t="n">
        <f aca="false">IF(N3&lt;=6,1,0)</f>
        <v>1</v>
      </c>
      <c r="P3" s="7" t="n">
        <f aca="false">IF(N3=1,1,0)</f>
        <v>0</v>
      </c>
      <c r="Q3" s="7" t="n">
        <f aca="false">IF(N3&lt;=2,1,0)</f>
        <v>1</v>
      </c>
      <c r="R3" s="7" t="n">
        <f aca="false">IF(N3&lt;=3,1,0)</f>
        <v>1</v>
      </c>
    </row>
    <row r="4" customFormat="false" ht="15" hidden="false" customHeight="false" outlineLevel="0" collapsed="false">
      <c r="A4" s="12" t="n">
        <v>2011</v>
      </c>
      <c r="B4" s="12" t="n">
        <v>3</v>
      </c>
      <c r="C4" s="13" t="s">
        <v>58</v>
      </c>
      <c r="D4" s="13" t="s">
        <v>59</v>
      </c>
      <c r="E4" s="12" t="n">
        <v>6</v>
      </c>
      <c r="F4" s="12" t="n">
        <v>7</v>
      </c>
      <c r="G4" s="12" t="n">
        <v>0</v>
      </c>
      <c r="H4" s="12" t="n">
        <v>13</v>
      </c>
      <c r="I4" s="13" t="str">
        <f aca="false">E4&amp;"-"&amp;F4&amp;"-"&amp;G4</f>
        <v>6-7-0</v>
      </c>
      <c r="J4" s="14" t="n">
        <f aca="false">(E4+0.5*G4)/H4</f>
        <v>0.461538461538462</v>
      </c>
      <c r="K4" s="15" t="n">
        <v>1231</v>
      </c>
      <c r="L4" s="16" t="n">
        <f aca="false">K4/H4</f>
        <v>94.6923076923077</v>
      </c>
      <c r="M4" s="12" t="n">
        <f aca="false">SUMPRODUCT(($A$2:$A$181=A4)*($K$2:$K$181&gt;K4))+1</f>
        <v>8</v>
      </c>
      <c r="N4" s="12" t="n">
        <v>10</v>
      </c>
      <c r="O4" s="12" t="n">
        <f aca="false">IF(N4&lt;=6,1,0)</f>
        <v>0</v>
      </c>
      <c r="P4" s="12" t="n">
        <f aca="false">IF(N4=1,1,0)</f>
        <v>0</v>
      </c>
      <c r="Q4" s="12" t="n">
        <f aca="false">IF(N4&lt;=2,1,0)</f>
        <v>0</v>
      </c>
      <c r="R4" s="12" t="n">
        <f aca="false">IF(N4&lt;=3,1,0)</f>
        <v>0</v>
      </c>
    </row>
    <row r="5" customFormat="false" ht="15" hidden="false" customHeight="false" outlineLevel="0" collapsed="false">
      <c r="A5" s="7" t="n">
        <v>2011</v>
      </c>
      <c r="B5" s="7" t="n">
        <v>4</v>
      </c>
      <c r="C5" s="8" t="s">
        <v>60</v>
      </c>
      <c r="D5" s="8" t="s">
        <v>61</v>
      </c>
      <c r="E5" s="7" t="n">
        <v>9</v>
      </c>
      <c r="F5" s="7" t="n">
        <v>4</v>
      </c>
      <c r="G5" s="7" t="n">
        <v>0</v>
      </c>
      <c r="H5" s="7" t="n">
        <v>13</v>
      </c>
      <c r="I5" s="8" t="str">
        <f aca="false">E5&amp;"-"&amp;F5&amp;"-"&amp;G5</f>
        <v>9-4-0</v>
      </c>
      <c r="J5" s="9" t="n">
        <f aca="false">(E5+0.5*G5)/H5</f>
        <v>0.692307692307692</v>
      </c>
      <c r="K5" s="10" t="n">
        <v>1608</v>
      </c>
      <c r="L5" s="11" t="n">
        <f aca="false">K5/H5</f>
        <v>123.692307692308</v>
      </c>
      <c r="M5" s="7" t="n">
        <f aca="false">SUMPRODUCT(($A$2:$A$181=A5)*($K$2:$K$181&gt;K5))+1</f>
        <v>2</v>
      </c>
      <c r="N5" s="7" t="n">
        <v>4</v>
      </c>
      <c r="O5" s="7" t="n">
        <f aca="false">IF(N5&lt;=6,1,0)</f>
        <v>1</v>
      </c>
      <c r="P5" s="7" t="n">
        <f aca="false">IF(N5=1,1,0)</f>
        <v>0</v>
      </c>
      <c r="Q5" s="7" t="n">
        <f aca="false">IF(N5&lt;=2,1,0)</f>
        <v>0</v>
      </c>
      <c r="R5" s="7" t="n">
        <f aca="false">IF(N5&lt;=3,1,0)</f>
        <v>0</v>
      </c>
    </row>
    <row r="6" customFormat="false" ht="15" hidden="false" customHeight="false" outlineLevel="0" collapsed="false">
      <c r="A6" s="7" t="n">
        <v>2011</v>
      </c>
      <c r="B6" s="7" t="n">
        <v>5</v>
      </c>
      <c r="C6" s="8" t="s">
        <v>62</v>
      </c>
      <c r="D6" s="8" t="s">
        <v>63</v>
      </c>
      <c r="E6" s="7" t="n">
        <v>12</v>
      </c>
      <c r="F6" s="7" t="n">
        <v>1</v>
      </c>
      <c r="G6" s="7" t="n">
        <v>0</v>
      </c>
      <c r="H6" s="7" t="n">
        <v>13</v>
      </c>
      <c r="I6" s="8" t="str">
        <f aca="false">E6&amp;"-"&amp;F6&amp;"-"&amp;G6</f>
        <v>12-1-0</v>
      </c>
      <c r="J6" s="9" t="n">
        <f aca="false">(E6+0.5*G6)/H6</f>
        <v>0.923076923076923</v>
      </c>
      <c r="K6" s="10" t="n">
        <v>1670</v>
      </c>
      <c r="L6" s="11" t="n">
        <f aca="false">K6/H6</f>
        <v>128.461538461538</v>
      </c>
      <c r="M6" s="7" t="n">
        <f aca="false">SUMPRODUCT(($A$2:$A$181=A6)*($K$2:$K$181&gt;K6))+1</f>
        <v>1</v>
      </c>
      <c r="N6" s="7" t="n">
        <v>3</v>
      </c>
      <c r="O6" s="7" t="n">
        <f aca="false">IF(N6&lt;=6,1,0)</f>
        <v>1</v>
      </c>
      <c r="P6" s="7" t="n">
        <f aca="false">IF(N6=1,1,0)</f>
        <v>0</v>
      </c>
      <c r="Q6" s="7" t="n">
        <f aca="false">IF(N6&lt;=2,1,0)</f>
        <v>0</v>
      </c>
      <c r="R6" s="7" t="n">
        <f aca="false">IF(N6&lt;=3,1,0)</f>
        <v>1</v>
      </c>
    </row>
    <row r="7" customFormat="false" ht="15" hidden="false" customHeight="false" outlineLevel="0" collapsed="false">
      <c r="A7" s="12" t="n">
        <v>2011</v>
      </c>
      <c r="B7" s="12" t="n">
        <v>6</v>
      </c>
      <c r="C7" s="13" t="s">
        <v>64</v>
      </c>
      <c r="D7" s="13" t="s">
        <v>65</v>
      </c>
      <c r="E7" s="12" t="n">
        <v>4</v>
      </c>
      <c r="F7" s="12" t="n">
        <v>9</v>
      </c>
      <c r="G7" s="12" t="n">
        <v>0</v>
      </c>
      <c r="H7" s="12" t="n">
        <v>13</v>
      </c>
      <c r="I7" s="13" t="str">
        <f aca="false">E7&amp;"-"&amp;F7&amp;"-"&amp;G7</f>
        <v>4-9-0</v>
      </c>
      <c r="J7" s="14" t="n">
        <f aca="false">(E7+0.5*G7)/H7</f>
        <v>0.307692307692308</v>
      </c>
      <c r="K7" s="15" t="n">
        <v>1187</v>
      </c>
      <c r="L7" s="16" t="n">
        <f aca="false">K7/H7</f>
        <v>91.3076923076923</v>
      </c>
      <c r="M7" s="12" t="n">
        <f aca="false">SUMPRODUCT(($A$2:$A$181=A7)*($K$2:$K$181&gt;K7))+1</f>
        <v>11</v>
      </c>
      <c r="N7" s="12" t="n">
        <v>12</v>
      </c>
      <c r="O7" s="12" t="n">
        <f aca="false">IF(N7&lt;=6,1,0)</f>
        <v>0</v>
      </c>
      <c r="P7" s="12" t="n">
        <f aca="false">IF(N7=1,1,0)</f>
        <v>0</v>
      </c>
      <c r="Q7" s="12" t="n">
        <f aca="false">IF(N7&lt;=2,1,0)</f>
        <v>0</v>
      </c>
      <c r="R7" s="12" t="n">
        <f aca="false">IF(N7&lt;=3,1,0)</f>
        <v>0</v>
      </c>
    </row>
    <row r="8" customFormat="false" ht="15" hidden="false" customHeight="false" outlineLevel="0" collapsed="false">
      <c r="A8" s="12" t="n">
        <v>2011</v>
      </c>
      <c r="B8" s="12" t="n">
        <v>7</v>
      </c>
      <c r="C8" s="13" t="s">
        <v>66</v>
      </c>
      <c r="D8" s="13" t="s">
        <v>67</v>
      </c>
      <c r="E8" s="12" t="n">
        <v>1</v>
      </c>
      <c r="F8" s="12" t="n">
        <v>12</v>
      </c>
      <c r="G8" s="12" t="n">
        <v>0</v>
      </c>
      <c r="H8" s="12" t="n">
        <v>13</v>
      </c>
      <c r="I8" s="13" t="str">
        <f aca="false">E8&amp;"-"&amp;F8&amp;"-"&amp;G8</f>
        <v>1-12-0</v>
      </c>
      <c r="J8" s="14" t="n">
        <f aca="false">(E8+0.5*G8)/H8</f>
        <v>0.0769230769230769</v>
      </c>
      <c r="K8" s="15" t="n">
        <v>1076</v>
      </c>
      <c r="L8" s="16" t="n">
        <f aca="false">K8/H8</f>
        <v>82.7692307692308</v>
      </c>
      <c r="M8" s="12" t="n">
        <f aca="false">SUMPRODUCT(($A$2:$A$181=A8)*($K$2:$K$181&gt;K8))+1</f>
        <v>12</v>
      </c>
      <c r="N8" s="12" t="n">
        <v>9</v>
      </c>
      <c r="O8" s="12" t="n">
        <f aca="false">IF(N8&lt;=6,1,0)</f>
        <v>0</v>
      </c>
      <c r="P8" s="12" t="n">
        <f aca="false">IF(N8=1,1,0)</f>
        <v>0</v>
      </c>
      <c r="Q8" s="12" t="n">
        <f aca="false">IF(N8&lt;=2,1,0)</f>
        <v>0</v>
      </c>
      <c r="R8" s="12" t="n">
        <f aca="false">IF(N8&lt;=3,1,0)</f>
        <v>0</v>
      </c>
    </row>
    <row r="9" customFormat="false" ht="15" hidden="false" customHeight="false" outlineLevel="0" collapsed="false">
      <c r="A9" s="12" t="n">
        <v>2011</v>
      </c>
      <c r="B9" s="12" t="n">
        <v>8</v>
      </c>
      <c r="C9" s="13" t="s">
        <v>68</v>
      </c>
      <c r="D9" s="13" t="s">
        <v>69</v>
      </c>
      <c r="E9" s="12" t="n">
        <v>4</v>
      </c>
      <c r="F9" s="12" t="n">
        <v>9</v>
      </c>
      <c r="G9" s="12" t="n">
        <v>0</v>
      </c>
      <c r="H9" s="12" t="n">
        <v>13</v>
      </c>
      <c r="I9" s="13" t="str">
        <f aca="false">E9&amp;"-"&amp;F9&amp;"-"&amp;G9</f>
        <v>4-9-0</v>
      </c>
      <c r="J9" s="14" t="n">
        <f aca="false">(E9+0.5*G9)/H9</f>
        <v>0.307692307692308</v>
      </c>
      <c r="K9" s="15" t="n">
        <v>1322</v>
      </c>
      <c r="L9" s="16" t="n">
        <f aca="false">K9/H9</f>
        <v>101.692307692308</v>
      </c>
      <c r="M9" s="12" t="n">
        <f aca="false">SUMPRODUCT(($A$2:$A$181=A9)*($K$2:$K$181&gt;K9))+1</f>
        <v>5</v>
      </c>
      <c r="N9" s="12" t="n">
        <v>7</v>
      </c>
      <c r="O9" s="12" t="n">
        <f aca="false">IF(N9&lt;=6,1,0)</f>
        <v>0</v>
      </c>
      <c r="P9" s="12" t="n">
        <f aca="false">IF(N9=1,1,0)</f>
        <v>0</v>
      </c>
      <c r="Q9" s="12" t="n">
        <f aca="false">IF(N9&lt;=2,1,0)</f>
        <v>0</v>
      </c>
      <c r="R9" s="12" t="n">
        <f aca="false">IF(N9&lt;=3,1,0)</f>
        <v>0</v>
      </c>
    </row>
    <row r="10" customFormat="false" ht="15" hidden="false" customHeight="false" outlineLevel="0" collapsed="false">
      <c r="A10" s="7" t="n">
        <v>2011</v>
      </c>
      <c r="B10" s="7" t="n">
        <v>9</v>
      </c>
      <c r="C10" s="8" t="s">
        <v>70</v>
      </c>
      <c r="D10" s="8" t="s">
        <v>71</v>
      </c>
      <c r="E10" s="7" t="n">
        <v>6</v>
      </c>
      <c r="F10" s="7" t="n">
        <v>7</v>
      </c>
      <c r="G10" s="7" t="n">
        <v>0</v>
      </c>
      <c r="H10" s="7" t="n">
        <v>13</v>
      </c>
      <c r="I10" s="8" t="str">
        <f aca="false">E10&amp;"-"&amp;F10&amp;"-"&amp;G10</f>
        <v>6-7-0</v>
      </c>
      <c r="J10" s="9" t="n">
        <f aca="false">(E10+0.5*G10)/H10</f>
        <v>0.461538461538462</v>
      </c>
      <c r="K10" s="10" t="n">
        <v>1331</v>
      </c>
      <c r="L10" s="11" t="n">
        <f aca="false">K10/H10</f>
        <v>102.384615384615</v>
      </c>
      <c r="M10" s="7" t="n">
        <f aca="false">SUMPRODUCT(($A$2:$A$181=A10)*($K$2:$K$181&gt;K10))+1</f>
        <v>4</v>
      </c>
      <c r="N10" s="7" t="n">
        <v>6</v>
      </c>
      <c r="O10" s="7" t="n">
        <f aca="false">IF(N10&lt;=6,1,0)</f>
        <v>1</v>
      </c>
      <c r="P10" s="7" t="n">
        <f aca="false">IF(N10=1,1,0)</f>
        <v>0</v>
      </c>
      <c r="Q10" s="7" t="n">
        <f aca="false">IF(N10&lt;=2,1,0)</f>
        <v>0</v>
      </c>
      <c r="R10" s="7" t="n">
        <f aca="false">IF(N10&lt;=3,1,0)</f>
        <v>0</v>
      </c>
    </row>
    <row r="11" customFormat="false" ht="15" hidden="false" customHeight="false" outlineLevel="0" collapsed="false">
      <c r="A11" s="12" t="n">
        <v>2011</v>
      </c>
      <c r="B11" s="12" t="n">
        <v>10</v>
      </c>
      <c r="C11" s="13" t="s">
        <v>72</v>
      </c>
      <c r="D11" s="13" t="s">
        <v>73</v>
      </c>
      <c r="E11" s="12" t="n">
        <v>6</v>
      </c>
      <c r="F11" s="12" t="n">
        <v>7</v>
      </c>
      <c r="G11" s="12" t="n">
        <v>0</v>
      </c>
      <c r="H11" s="12" t="n">
        <v>13</v>
      </c>
      <c r="I11" s="13" t="str">
        <f aca="false">E11&amp;"-"&amp;F11&amp;"-"&amp;G11</f>
        <v>6-7-0</v>
      </c>
      <c r="J11" s="14" t="n">
        <f aca="false">(E11+0.5*G11)/H11</f>
        <v>0.461538461538462</v>
      </c>
      <c r="K11" s="15" t="n">
        <v>1225</v>
      </c>
      <c r="L11" s="16" t="n">
        <f aca="false">K11/H11</f>
        <v>94.2307692307692</v>
      </c>
      <c r="M11" s="12" t="n">
        <f aca="false">SUMPRODUCT(($A$2:$A$181=A11)*($K$2:$K$181&gt;K11))+1</f>
        <v>9</v>
      </c>
      <c r="N11" s="12" t="n">
        <v>11</v>
      </c>
      <c r="O11" s="12" t="n">
        <f aca="false">IF(N11&lt;=6,1,0)</f>
        <v>0</v>
      </c>
      <c r="P11" s="12" t="n">
        <f aca="false">IF(N11=1,1,0)</f>
        <v>0</v>
      </c>
      <c r="Q11" s="12" t="n">
        <f aca="false">IF(N11&lt;=2,1,0)</f>
        <v>0</v>
      </c>
      <c r="R11" s="12" t="n">
        <f aca="false">IF(N11&lt;=3,1,0)</f>
        <v>0</v>
      </c>
    </row>
    <row r="12" customFormat="false" ht="15" hidden="false" customHeight="false" outlineLevel="0" collapsed="false">
      <c r="A12" s="12" t="n">
        <v>2011</v>
      </c>
      <c r="B12" s="12" t="n">
        <v>11</v>
      </c>
      <c r="C12" s="13" t="s">
        <v>74</v>
      </c>
      <c r="D12" s="13" t="s">
        <v>75</v>
      </c>
      <c r="E12" s="12" t="n">
        <v>6</v>
      </c>
      <c r="F12" s="12" t="n">
        <v>7</v>
      </c>
      <c r="G12" s="12" t="n">
        <v>0</v>
      </c>
      <c r="H12" s="12" t="n">
        <v>13</v>
      </c>
      <c r="I12" s="13" t="str">
        <f aca="false">E12&amp;"-"&amp;F12&amp;"-"&amp;G12</f>
        <v>6-7-0</v>
      </c>
      <c r="J12" s="14" t="n">
        <f aca="false">(E12+0.5*G12)/H12</f>
        <v>0.461538461538462</v>
      </c>
      <c r="K12" s="15" t="n">
        <v>1271</v>
      </c>
      <c r="L12" s="16" t="n">
        <f aca="false">K12/H12</f>
        <v>97.7692307692308</v>
      </c>
      <c r="M12" s="12" t="n">
        <f aca="false">SUMPRODUCT(($A$2:$A$181=A12)*($K$2:$K$181&gt;K12))+1</f>
        <v>7</v>
      </c>
      <c r="N12" s="12" t="n">
        <v>8</v>
      </c>
      <c r="O12" s="12" t="n">
        <f aca="false">IF(N12&lt;=6,1,0)</f>
        <v>0</v>
      </c>
      <c r="P12" s="12" t="n">
        <f aca="false">IF(N12=1,1,0)</f>
        <v>0</v>
      </c>
      <c r="Q12" s="12" t="n">
        <f aca="false">IF(N12&lt;=2,1,0)</f>
        <v>0</v>
      </c>
      <c r="R12" s="12" t="n">
        <f aca="false">IF(N12&lt;=3,1,0)</f>
        <v>0</v>
      </c>
    </row>
    <row r="13" customFormat="false" ht="15" hidden="false" customHeight="false" outlineLevel="0" collapsed="false">
      <c r="A13" s="7" t="n">
        <v>2011</v>
      </c>
      <c r="B13" s="7" t="n">
        <v>12</v>
      </c>
      <c r="C13" s="8" t="s">
        <v>76</v>
      </c>
      <c r="D13" s="8" t="s">
        <v>77</v>
      </c>
      <c r="E13" s="7" t="n">
        <v>7</v>
      </c>
      <c r="F13" s="7" t="n">
        <v>6</v>
      </c>
      <c r="G13" s="7" t="n">
        <v>0</v>
      </c>
      <c r="H13" s="7" t="n">
        <v>13</v>
      </c>
      <c r="I13" s="8" t="str">
        <f aca="false">E13&amp;"-"&amp;F13&amp;"-"&amp;G13</f>
        <v>7-6-0</v>
      </c>
      <c r="J13" s="9" t="n">
        <f aca="false">(E13+0.5*G13)/H13</f>
        <v>0.538461538461538</v>
      </c>
      <c r="K13" s="10" t="n">
        <v>1206</v>
      </c>
      <c r="L13" s="11" t="n">
        <f aca="false">K13/H13</f>
        <v>92.7692307692308</v>
      </c>
      <c r="M13" s="7" t="n">
        <f aca="false">SUMPRODUCT(($A$2:$A$181=A13)*($K$2:$K$181&gt;K13))+1</f>
        <v>10</v>
      </c>
      <c r="N13" s="7" t="n">
        <v>5</v>
      </c>
      <c r="O13" s="7" t="n">
        <f aca="false">IF(N13&lt;=6,1,0)</f>
        <v>1</v>
      </c>
      <c r="P13" s="7" t="n">
        <f aca="false">IF(N13=1,1,0)</f>
        <v>0</v>
      </c>
      <c r="Q13" s="7" t="n">
        <f aca="false">IF(N13&lt;=2,1,0)</f>
        <v>0</v>
      </c>
      <c r="R13" s="7" t="n">
        <f aca="false">IF(N13&lt;=3,1,0)</f>
        <v>0</v>
      </c>
    </row>
    <row r="14" customFormat="false" ht="15" hidden="false" customHeight="false" outlineLevel="0" collapsed="false">
      <c r="A14" s="12" t="n">
        <v>2012</v>
      </c>
      <c r="B14" s="12" t="n">
        <v>1</v>
      </c>
      <c r="C14" s="13" t="s">
        <v>74</v>
      </c>
      <c r="D14" s="13" t="s">
        <v>75</v>
      </c>
      <c r="E14" s="12" t="n">
        <v>3</v>
      </c>
      <c r="F14" s="12" t="n">
        <v>10</v>
      </c>
      <c r="G14" s="12" t="n">
        <v>0</v>
      </c>
      <c r="H14" s="12" t="n">
        <v>13</v>
      </c>
      <c r="I14" s="13" t="str">
        <f aca="false">E14&amp;"-"&amp;F14&amp;"-"&amp;G14</f>
        <v>3-10-0</v>
      </c>
      <c r="J14" s="14" t="n">
        <f aca="false">(E14+0.5*G14)/H14</f>
        <v>0.230769230769231</v>
      </c>
      <c r="K14" s="15" t="n">
        <v>1309</v>
      </c>
      <c r="L14" s="16" t="n">
        <f aca="false">K14/H14</f>
        <v>100.692307692308</v>
      </c>
      <c r="M14" s="12" t="n">
        <f aca="false">SUMPRODUCT(($A$2:$A$181=A14)*($K$2:$K$181&gt;K14))+1</f>
        <v>7</v>
      </c>
      <c r="N14" s="12" t="n">
        <v>11</v>
      </c>
      <c r="O14" s="12" t="n">
        <f aca="false">IF(N14&lt;=6,1,0)</f>
        <v>0</v>
      </c>
      <c r="P14" s="12" t="n">
        <f aca="false">IF(N14=1,1,0)</f>
        <v>0</v>
      </c>
      <c r="Q14" s="12" t="n">
        <f aca="false">IF(N14&lt;=2,1,0)</f>
        <v>0</v>
      </c>
      <c r="R14" s="12" t="n">
        <f aca="false">IF(N14&lt;=3,1,0)</f>
        <v>0</v>
      </c>
    </row>
    <row r="15" customFormat="false" ht="15" hidden="false" customHeight="false" outlineLevel="0" collapsed="false">
      <c r="A15" s="12" t="n">
        <v>2012</v>
      </c>
      <c r="B15" s="12" t="n">
        <v>2</v>
      </c>
      <c r="C15" s="13" t="s">
        <v>76</v>
      </c>
      <c r="D15" s="13" t="s">
        <v>77</v>
      </c>
      <c r="E15" s="12" t="n">
        <v>5</v>
      </c>
      <c r="F15" s="12" t="n">
        <v>8</v>
      </c>
      <c r="G15" s="12" t="n">
        <v>0</v>
      </c>
      <c r="H15" s="12" t="n">
        <v>13</v>
      </c>
      <c r="I15" s="13" t="str">
        <f aca="false">E15&amp;"-"&amp;F15&amp;"-"&amp;G15</f>
        <v>5-8-0</v>
      </c>
      <c r="J15" s="14" t="n">
        <f aca="false">(E15+0.5*G15)/H15</f>
        <v>0.384615384615385</v>
      </c>
      <c r="K15" s="15" t="n">
        <v>1368</v>
      </c>
      <c r="L15" s="16" t="n">
        <f aca="false">K15/H15</f>
        <v>105.230769230769</v>
      </c>
      <c r="M15" s="12" t="n">
        <f aca="false">SUMPRODUCT(($A$2:$A$181=A15)*($K$2:$K$181&gt;K15))+1</f>
        <v>4</v>
      </c>
      <c r="N15" s="12" t="n">
        <v>10</v>
      </c>
      <c r="O15" s="12" t="n">
        <f aca="false">IF(N15&lt;=6,1,0)</f>
        <v>0</v>
      </c>
      <c r="P15" s="12" t="n">
        <f aca="false">IF(N15=1,1,0)</f>
        <v>0</v>
      </c>
      <c r="Q15" s="12" t="n">
        <f aca="false">IF(N15&lt;=2,1,0)</f>
        <v>0</v>
      </c>
      <c r="R15" s="12" t="n">
        <f aca="false">IF(N15&lt;=3,1,0)</f>
        <v>0</v>
      </c>
    </row>
    <row r="16" customFormat="false" ht="15" hidden="false" customHeight="false" outlineLevel="0" collapsed="false">
      <c r="A16" s="7" t="n">
        <v>2012</v>
      </c>
      <c r="B16" s="7" t="n">
        <v>3</v>
      </c>
      <c r="C16" s="8" t="s">
        <v>72</v>
      </c>
      <c r="D16" s="8" t="s">
        <v>73</v>
      </c>
      <c r="E16" s="7" t="n">
        <v>7</v>
      </c>
      <c r="F16" s="7" t="n">
        <v>6</v>
      </c>
      <c r="G16" s="7" t="n">
        <v>0</v>
      </c>
      <c r="H16" s="7" t="n">
        <v>13</v>
      </c>
      <c r="I16" s="8" t="str">
        <f aca="false">E16&amp;"-"&amp;F16&amp;"-"&amp;G16</f>
        <v>7-6-0</v>
      </c>
      <c r="J16" s="9" t="n">
        <f aca="false">(E16+0.5*G16)/H16</f>
        <v>0.538461538461538</v>
      </c>
      <c r="K16" s="10" t="n">
        <v>1321</v>
      </c>
      <c r="L16" s="11" t="n">
        <f aca="false">K16/H16</f>
        <v>101.615384615385</v>
      </c>
      <c r="M16" s="7" t="n">
        <f aca="false">SUMPRODUCT(($A$2:$A$181=A16)*($K$2:$K$181&gt;K16))+1</f>
        <v>6</v>
      </c>
      <c r="N16" s="7" t="n">
        <v>4</v>
      </c>
      <c r="O16" s="7" t="n">
        <f aca="false">IF(N16&lt;=6,1,0)</f>
        <v>1</v>
      </c>
      <c r="P16" s="7" t="n">
        <f aca="false">IF(N16=1,1,0)</f>
        <v>0</v>
      </c>
      <c r="Q16" s="7" t="n">
        <f aca="false">IF(N16&lt;=2,1,0)</f>
        <v>0</v>
      </c>
      <c r="R16" s="7" t="n">
        <f aca="false">IF(N16&lt;=3,1,0)</f>
        <v>0</v>
      </c>
    </row>
    <row r="17" customFormat="false" ht="15" hidden="false" customHeight="false" outlineLevel="0" collapsed="false">
      <c r="A17" s="12" t="n">
        <v>2012</v>
      </c>
      <c r="B17" s="12" t="n">
        <v>4</v>
      </c>
      <c r="C17" s="13" t="s">
        <v>64</v>
      </c>
      <c r="D17" s="13" t="s">
        <v>65</v>
      </c>
      <c r="E17" s="12" t="n">
        <v>5</v>
      </c>
      <c r="F17" s="12" t="n">
        <v>8</v>
      </c>
      <c r="G17" s="12" t="n">
        <v>0</v>
      </c>
      <c r="H17" s="12" t="n">
        <v>13</v>
      </c>
      <c r="I17" s="13" t="str">
        <f aca="false">E17&amp;"-"&amp;F17&amp;"-"&amp;G17</f>
        <v>5-8-0</v>
      </c>
      <c r="J17" s="14" t="n">
        <f aca="false">(E17+0.5*G17)/H17</f>
        <v>0.384615384615385</v>
      </c>
      <c r="K17" s="15" t="n">
        <v>1234</v>
      </c>
      <c r="L17" s="16" t="n">
        <f aca="false">K17/H17</f>
        <v>94.9230769230769</v>
      </c>
      <c r="M17" s="12" t="n">
        <f aca="false">SUMPRODUCT(($A$2:$A$181=A17)*($K$2:$K$181&gt;K17))+1</f>
        <v>11</v>
      </c>
      <c r="N17" s="12" t="n">
        <v>9</v>
      </c>
      <c r="O17" s="12" t="n">
        <f aca="false">IF(N17&lt;=6,1,0)</f>
        <v>0</v>
      </c>
      <c r="P17" s="12" t="n">
        <f aca="false">IF(N17=1,1,0)</f>
        <v>0</v>
      </c>
      <c r="Q17" s="12" t="n">
        <f aca="false">IF(N17&lt;=2,1,0)</f>
        <v>0</v>
      </c>
      <c r="R17" s="12" t="n">
        <f aca="false">IF(N17&lt;=3,1,0)</f>
        <v>0</v>
      </c>
    </row>
    <row r="18" customFormat="false" ht="15" hidden="false" customHeight="false" outlineLevel="0" collapsed="false">
      <c r="A18" s="12" t="n">
        <v>2012</v>
      </c>
      <c r="B18" s="12" t="n">
        <v>5</v>
      </c>
      <c r="C18" s="13" t="s">
        <v>60</v>
      </c>
      <c r="D18" s="13" t="s">
        <v>61</v>
      </c>
      <c r="E18" s="12" t="n">
        <v>5</v>
      </c>
      <c r="F18" s="12" t="n">
        <v>8</v>
      </c>
      <c r="G18" s="12" t="n">
        <v>0</v>
      </c>
      <c r="H18" s="12" t="n">
        <v>13</v>
      </c>
      <c r="I18" s="13" t="str">
        <f aca="false">E18&amp;"-"&amp;F18&amp;"-"&amp;G18</f>
        <v>5-8-0</v>
      </c>
      <c r="J18" s="14" t="n">
        <f aca="false">(E18+0.5*G18)/H18</f>
        <v>0.384615384615385</v>
      </c>
      <c r="K18" s="15" t="n">
        <v>1297</v>
      </c>
      <c r="L18" s="16" t="n">
        <f aca="false">K18/H18</f>
        <v>99.7692307692308</v>
      </c>
      <c r="M18" s="12" t="n">
        <f aca="false">SUMPRODUCT(($A$2:$A$181=A18)*($K$2:$K$181&gt;K18))+1</f>
        <v>9</v>
      </c>
      <c r="N18" s="12" t="n">
        <v>7</v>
      </c>
      <c r="O18" s="12" t="n">
        <f aca="false">IF(N18&lt;=6,1,0)</f>
        <v>0</v>
      </c>
      <c r="P18" s="12" t="n">
        <f aca="false">IF(N18=1,1,0)</f>
        <v>0</v>
      </c>
      <c r="Q18" s="12" t="n">
        <f aca="false">IF(N18&lt;=2,1,0)</f>
        <v>0</v>
      </c>
      <c r="R18" s="12" t="n">
        <f aca="false">IF(N18&lt;=3,1,0)</f>
        <v>0</v>
      </c>
    </row>
    <row r="19" customFormat="false" ht="15" hidden="false" customHeight="false" outlineLevel="0" collapsed="false">
      <c r="A19" s="7" t="n">
        <v>2012</v>
      </c>
      <c r="B19" s="7" t="n">
        <v>6</v>
      </c>
      <c r="C19" s="8" t="s">
        <v>68</v>
      </c>
      <c r="D19" s="8" t="s">
        <v>69</v>
      </c>
      <c r="E19" s="7" t="n">
        <v>9</v>
      </c>
      <c r="F19" s="7" t="n">
        <v>4</v>
      </c>
      <c r="G19" s="7" t="n">
        <v>0</v>
      </c>
      <c r="H19" s="7" t="n">
        <v>13</v>
      </c>
      <c r="I19" s="8" t="str">
        <f aca="false">E19&amp;"-"&amp;F19&amp;"-"&amp;G19</f>
        <v>9-4-0</v>
      </c>
      <c r="J19" s="9" t="n">
        <f aca="false">(E19+0.5*G19)/H19</f>
        <v>0.692307692307692</v>
      </c>
      <c r="K19" s="10" t="n">
        <v>1357</v>
      </c>
      <c r="L19" s="11" t="n">
        <f aca="false">K19/H19</f>
        <v>104.384615384615</v>
      </c>
      <c r="M19" s="7" t="n">
        <f aca="false">SUMPRODUCT(($A$2:$A$181=A19)*($K$2:$K$181&gt;K19))+1</f>
        <v>5</v>
      </c>
      <c r="N19" s="7" t="n">
        <v>1</v>
      </c>
      <c r="O19" s="7" t="n">
        <f aca="false">IF(N19&lt;=6,1,0)</f>
        <v>1</v>
      </c>
      <c r="P19" s="7" t="n">
        <f aca="false">IF(N19=1,1,0)</f>
        <v>1</v>
      </c>
      <c r="Q19" s="7" t="n">
        <f aca="false">IF(N19&lt;=2,1,0)</f>
        <v>1</v>
      </c>
      <c r="R19" s="7" t="n">
        <f aca="false">IF(N19&lt;=3,1,0)</f>
        <v>1</v>
      </c>
    </row>
    <row r="20" customFormat="false" ht="15" hidden="false" customHeight="false" outlineLevel="0" collapsed="false">
      <c r="A20" s="12" t="n">
        <v>2012</v>
      </c>
      <c r="B20" s="12" t="n">
        <v>7</v>
      </c>
      <c r="C20" s="13" t="s">
        <v>66</v>
      </c>
      <c r="D20" s="13" t="s">
        <v>67</v>
      </c>
      <c r="E20" s="12" t="n">
        <v>5</v>
      </c>
      <c r="F20" s="12" t="n">
        <v>8</v>
      </c>
      <c r="G20" s="12" t="n">
        <v>0</v>
      </c>
      <c r="H20" s="12" t="n">
        <v>13</v>
      </c>
      <c r="I20" s="13" t="str">
        <f aca="false">E20&amp;"-"&amp;F20&amp;"-"&amp;G20</f>
        <v>5-8-0</v>
      </c>
      <c r="J20" s="14" t="n">
        <f aca="false">(E20+0.5*G20)/H20</f>
        <v>0.384615384615385</v>
      </c>
      <c r="K20" s="15" t="n">
        <v>1276</v>
      </c>
      <c r="L20" s="16" t="n">
        <f aca="false">K20/H20</f>
        <v>98.1538461538462</v>
      </c>
      <c r="M20" s="12" t="n">
        <f aca="false">SUMPRODUCT(($A$2:$A$181=A20)*($K$2:$K$181&gt;K20))+1</f>
        <v>10</v>
      </c>
      <c r="N20" s="12" t="n">
        <v>12</v>
      </c>
      <c r="O20" s="12" t="n">
        <f aca="false">IF(N20&lt;=6,1,0)</f>
        <v>0</v>
      </c>
      <c r="P20" s="12" t="n">
        <f aca="false">IF(N20=1,1,0)</f>
        <v>0</v>
      </c>
      <c r="Q20" s="12" t="n">
        <f aca="false">IF(N20&lt;=2,1,0)</f>
        <v>0</v>
      </c>
      <c r="R20" s="12" t="n">
        <f aca="false">IF(N20&lt;=3,1,0)</f>
        <v>0</v>
      </c>
    </row>
    <row r="21" customFormat="false" ht="15" hidden="false" customHeight="false" outlineLevel="0" collapsed="false">
      <c r="A21" s="7" t="n">
        <v>2012</v>
      </c>
      <c r="B21" s="7" t="n">
        <v>8</v>
      </c>
      <c r="C21" s="8" t="s">
        <v>70</v>
      </c>
      <c r="D21" s="8" t="s">
        <v>71</v>
      </c>
      <c r="E21" s="7" t="n">
        <v>7</v>
      </c>
      <c r="F21" s="7" t="n">
        <v>6</v>
      </c>
      <c r="G21" s="7" t="n">
        <v>0</v>
      </c>
      <c r="H21" s="7" t="n">
        <v>13</v>
      </c>
      <c r="I21" s="8" t="str">
        <f aca="false">E21&amp;"-"&amp;F21&amp;"-"&amp;G21</f>
        <v>7-6-0</v>
      </c>
      <c r="J21" s="9" t="n">
        <f aca="false">(E21+0.5*G21)/H21</f>
        <v>0.538461538461538</v>
      </c>
      <c r="K21" s="10" t="n">
        <v>1417</v>
      </c>
      <c r="L21" s="11" t="n">
        <f aca="false">K21/H21</f>
        <v>109</v>
      </c>
      <c r="M21" s="7" t="n">
        <f aca="false">SUMPRODUCT(($A$2:$A$181=A21)*($K$2:$K$181&gt;K21))+1</f>
        <v>3</v>
      </c>
      <c r="N21" s="7" t="n">
        <v>3</v>
      </c>
      <c r="O21" s="7" t="n">
        <f aca="false">IF(N21&lt;=6,1,0)</f>
        <v>1</v>
      </c>
      <c r="P21" s="7" t="n">
        <f aca="false">IF(N21=1,1,0)</f>
        <v>0</v>
      </c>
      <c r="Q21" s="7" t="n">
        <f aca="false">IF(N21&lt;=2,1,0)</f>
        <v>0</v>
      </c>
      <c r="R21" s="7" t="n">
        <f aca="false">IF(N21&lt;=3,1,0)</f>
        <v>1</v>
      </c>
    </row>
    <row r="22" customFormat="false" ht="15" hidden="false" customHeight="false" outlineLevel="0" collapsed="false">
      <c r="A22" s="7" t="n">
        <v>2012</v>
      </c>
      <c r="B22" s="7" t="n">
        <v>9</v>
      </c>
      <c r="C22" s="8" t="s">
        <v>56</v>
      </c>
      <c r="D22" s="8" t="s">
        <v>57</v>
      </c>
      <c r="E22" s="7" t="n">
        <v>8</v>
      </c>
      <c r="F22" s="7" t="n">
        <v>5</v>
      </c>
      <c r="G22" s="7" t="n">
        <v>0</v>
      </c>
      <c r="H22" s="7" t="n">
        <v>13</v>
      </c>
      <c r="I22" s="8" t="str">
        <f aca="false">E22&amp;"-"&amp;F22&amp;"-"&amp;G22</f>
        <v>8-5-0</v>
      </c>
      <c r="J22" s="9" t="n">
        <f aca="false">(E22+0.5*G22)/H22</f>
        <v>0.615384615384615</v>
      </c>
      <c r="K22" s="10" t="n">
        <v>1302</v>
      </c>
      <c r="L22" s="11" t="n">
        <f aca="false">K22/H22</f>
        <v>100.153846153846</v>
      </c>
      <c r="M22" s="7" t="n">
        <f aca="false">SUMPRODUCT(($A$2:$A$181=A22)*($K$2:$K$181&gt;K22))+1</f>
        <v>8</v>
      </c>
      <c r="N22" s="7" t="n">
        <v>6</v>
      </c>
      <c r="O22" s="7" t="n">
        <f aca="false">IF(N22&lt;=6,1,0)</f>
        <v>1</v>
      </c>
      <c r="P22" s="7" t="n">
        <f aca="false">IF(N22=1,1,0)</f>
        <v>0</v>
      </c>
      <c r="Q22" s="7" t="n">
        <f aca="false">IF(N22&lt;=2,1,0)</f>
        <v>0</v>
      </c>
      <c r="R22" s="7" t="n">
        <f aca="false">IF(N22&lt;=3,1,0)</f>
        <v>0</v>
      </c>
    </row>
    <row r="23" customFormat="false" ht="15" hidden="false" customHeight="false" outlineLevel="0" collapsed="false">
      <c r="A23" s="7" t="n">
        <v>2012</v>
      </c>
      <c r="B23" s="7" t="n">
        <v>10</v>
      </c>
      <c r="C23" s="8" t="s">
        <v>62</v>
      </c>
      <c r="D23" s="8" t="s">
        <v>63</v>
      </c>
      <c r="E23" s="7" t="n">
        <v>10</v>
      </c>
      <c r="F23" s="7" t="n">
        <v>3</v>
      </c>
      <c r="G23" s="7" t="n">
        <v>0</v>
      </c>
      <c r="H23" s="7" t="n">
        <v>13</v>
      </c>
      <c r="I23" s="8" t="str">
        <f aca="false">E23&amp;"-"&amp;F23&amp;"-"&amp;G23</f>
        <v>10-3-0</v>
      </c>
      <c r="J23" s="9" t="n">
        <f aca="false">(E23+0.5*G23)/H23</f>
        <v>0.769230769230769</v>
      </c>
      <c r="K23" s="10" t="n">
        <v>1458</v>
      </c>
      <c r="L23" s="11" t="n">
        <f aca="false">K23/H23</f>
        <v>112.153846153846</v>
      </c>
      <c r="M23" s="7" t="n">
        <f aca="false">SUMPRODUCT(($A$2:$A$181=A23)*($K$2:$K$181&gt;K23))+1</f>
        <v>1</v>
      </c>
      <c r="N23" s="7" t="n">
        <v>2</v>
      </c>
      <c r="O23" s="7" t="n">
        <f aca="false">IF(N23&lt;=6,1,0)</f>
        <v>1</v>
      </c>
      <c r="P23" s="7" t="n">
        <f aca="false">IF(N23=1,1,0)</f>
        <v>0</v>
      </c>
      <c r="Q23" s="7" t="n">
        <f aca="false">IF(N23&lt;=2,1,0)</f>
        <v>1</v>
      </c>
      <c r="R23" s="7" t="n">
        <f aca="false">IF(N23&lt;=3,1,0)</f>
        <v>1</v>
      </c>
    </row>
    <row r="24" customFormat="false" ht="15" hidden="false" customHeight="false" outlineLevel="0" collapsed="false">
      <c r="A24" s="12" t="n">
        <v>2012</v>
      </c>
      <c r="B24" s="12" t="n">
        <v>11</v>
      </c>
      <c r="C24" s="13" t="s">
        <v>54</v>
      </c>
      <c r="D24" s="13" t="s">
        <v>55</v>
      </c>
      <c r="E24" s="12" t="n">
        <v>6</v>
      </c>
      <c r="F24" s="12" t="n">
        <v>7</v>
      </c>
      <c r="G24" s="12" t="n">
        <v>0</v>
      </c>
      <c r="H24" s="12" t="n">
        <v>13</v>
      </c>
      <c r="I24" s="13" t="str">
        <f aca="false">E24&amp;"-"&amp;F24&amp;"-"&amp;G24</f>
        <v>6-7-0</v>
      </c>
      <c r="J24" s="14" t="n">
        <f aca="false">(E24+0.5*G24)/H24</f>
        <v>0.461538461538462</v>
      </c>
      <c r="K24" s="15" t="n">
        <v>1455</v>
      </c>
      <c r="L24" s="16" t="n">
        <f aca="false">K24/H24</f>
        <v>111.923076923077</v>
      </c>
      <c r="M24" s="12" t="n">
        <f aca="false">SUMPRODUCT(($A$2:$A$181=A24)*($K$2:$K$181&gt;K24))+1</f>
        <v>2</v>
      </c>
      <c r="N24" s="12" t="n">
        <v>8</v>
      </c>
      <c r="O24" s="12" t="n">
        <f aca="false">IF(N24&lt;=6,1,0)</f>
        <v>0</v>
      </c>
      <c r="P24" s="12" t="n">
        <f aca="false">IF(N24=1,1,0)</f>
        <v>0</v>
      </c>
      <c r="Q24" s="12" t="n">
        <f aca="false">IF(N24&lt;=2,1,0)</f>
        <v>0</v>
      </c>
      <c r="R24" s="12" t="n">
        <f aca="false">IF(N24&lt;=3,1,0)</f>
        <v>0</v>
      </c>
    </row>
    <row r="25" customFormat="false" ht="15" hidden="false" customHeight="false" outlineLevel="0" collapsed="false">
      <c r="A25" s="7" t="n">
        <v>2012</v>
      </c>
      <c r="B25" s="7" t="n">
        <v>12</v>
      </c>
      <c r="C25" s="8" t="s">
        <v>58</v>
      </c>
      <c r="D25" s="8" t="s">
        <v>59</v>
      </c>
      <c r="E25" s="7" t="n">
        <v>8</v>
      </c>
      <c r="F25" s="7" t="n">
        <v>5</v>
      </c>
      <c r="G25" s="7" t="n">
        <v>0</v>
      </c>
      <c r="H25" s="7" t="n">
        <v>13</v>
      </c>
      <c r="I25" s="8" t="str">
        <f aca="false">E25&amp;"-"&amp;F25&amp;"-"&amp;G25</f>
        <v>8-5-0</v>
      </c>
      <c r="J25" s="9" t="n">
        <f aca="false">(E25+0.5*G25)/H25</f>
        <v>0.615384615384615</v>
      </c>
      <c r="K25" s="10" t="n">
        <v>1220</v>
      </c>
      <c r="L25" s="11" t="n">
        <f aca="false">K25/H25</f>
        <v>93.8461538461538</v>
      </c>
      <c r="M25" s="7" t="n">
        <f aca="false">SUMPRODUCT(($A$2:$A$181=A25)*($K$2:$K$181&gt;K25))+1</f>
        <v>12</v>
      </c>
      <c r="N25" s="7" t="n">
        <v>5</v>
      </c>
      <c r="O25" s="7" t="n">
        <f aca="false">IF(N25&lt;=6,1,0)</f>
        <v>1</v>
      </c>
      <c r="P25" s="7" t="n">
        <f aca="false">IF(N25=1,1,0)</f>
        <v>0</v>
      </c>
      <c r="Q25" s="7" t="n">
        <f aca="false">IF(N25&lt;=2,1,0)</f>
        <v>0</v>
      </c>
      <c r="R25" s="7" t="n">
        <f aca="false">IF(N25&lt;=3,1,0)</f>
        <v>0</v>
      </c>
    </row>
    <row r="26" customFormat="false" ht="15" hidden="false" customHeight="false" outlineLevel="0" collapsed="false">
      <c r="A26" s="12" t="n">
        <v>2013</v>
      </c>
      <c r="B26" s="12" t="n">
        <v>1</v>
      </c>
      <c r="C26" s="13" t="s">
        <v>54</v>
      </c>
      <c r="D26" s="13" t="s">
        <v>55</v>
      </c>
      <c r="E26" s="12" t="n">
        <v>7</v>
      </c>
      <c r="F26" s="12" t="n">
        <v>6</v>
      </c>
      <c r="G26" s="12" t="n">
        <v>0</v>
      </c>
      <c r="H26" s="12" t="n">
        <v>13</v>
      </c>
      <c r="I26" s="13" t="str">
        <f aca="false">E26&amp;"-"&amp;F26&amp;"-"&amp;G26</f>
        <v>7-6-0</v>
      </c>
      <c r="J26" s="14" t="n">
        <f aca="false">(E26+0.5*G26)/H26</f>
        <v>0.538461538461538</v>
      </c>
      <c r="K26" s="15" t="n">
        <v>1272</v>
      </c>
      <c r="L26" s="16" t="n">
        <f aca="false">K26/H26</f>
        <v>97.8461538461538</v>
      </c>
      <c r="M26" s="12" t="n">
        <f aca="false">SUMPRODUCT(($A$2:$A$181=A26)*($K$2:$K$181&gt;K26))+1</f>
        <v>11</v>
      </c>
      <c r="N26" s="12" t="n">
        <v>9</v>
      </c>
      <c r="O26" s="12" t="n">
        <f aca="false">IF(N26&lt;=6,1,0)</f>
        <v>0</v>
      </c>
      <c r="P26" s="12" t="n">
        <f aca="false">IF(N26=1,1,0)</f>
        <v>0</v>
      </c>
      <c r="Q26" s="12" t="n">
        <f aca="false">IF(N26&lt;=2,1,0)</f>
        <v>0</v>
      </c>
      <c r="R26" s="12" t="n">
        <f aca="false">IF(N26&lt;=3,1,0)</f>
        <v>0</v>
      </c>
    </row>
    <row r="27" customFormat="false" ht="15" hidden="false" customHeight="false" outlineLevel="0" collapsed="false">
      <c r="A27" s="7" t="n">
        <v>2013</v>
      </c>
      <c r="B27" s="7" t="n">
        <v>2</v>
      </c>
      <c r="C27" s="8" t="s">
        <v>70</v>
      </c>
      <c r="D27" s="8" t="s">
        <v>71</v>
      </c>
      <c r="E27" s="7" t="n">
        <v>9</v>
      </c>
      <c r="F27" s="7" t="n">
        <v>4</v>
      </c>
      <c r="G27" s="7" t="n">
        <v>0</v>
      </c>
      <c r="H27" s="7" t="n">
        <v>13</v>
      </c>
      <c r="I27" s="8" t="str">
        <f aca="false">E27&amp;"-"&amp;F27&amp;"-"&amp;G27</f>
        <v>9-4-0</v>
      </c>
      <c r="J27" s="9" t="n">
        <f aca="false">(E27+0.5*G27)/H27</f>
        <v>0.692307692307692</v>
      </c>
      <c r="K27" s="10" t="n">
        <v>1449</v>
      </c>
      <c r="L27" s="11" t="n">
        <f aca="false">K27/H27</f>
        <v>111.461538461538</v>
      </c>
      <c r="M27" s="7" t="n">
        <f aca="false">SUMPRODUCT(($A$2:$A$181=A27)*($K$2:$K$181&gt;K27))+1</f>
        <v>3</v>
      </c>
      <c r="N27" s="7" t="n">
        <v>2</v>
      </c>
      <c r="O27" s="7" t="n">
        <f aca="false">IF(N27&lt;=6,1,0)</f>
        <v>1</v>
      </c>
      <c r="P27" s="7" t="n">
        <f aca="false">IF(N27=1,1,0)</f>
        <v>0</v>
      </c>
      <c r="Q27" s="7" t="n">
        <f aca="false">IF(N27&lt;=2,1,0)</f>
        <v>1</v>
      </c>
      <c r="R27" s="7" t="n">
        <f aca="false">IF(N27&lt;=3,1,0)</f>
        <v>1</v>
      </c>
    </row>
    <row r="28" customFormat="false" ht="15" hidden="false" customHeight="false" outlineLevel="0" collapsed="false">
      <c r="A28" s="12" t="n">
        <v>2013</v>
      </c>
      <c r="B28" s="12" t="n">
        <v>3</v>
      </c>
      <c r="C28" s="13" t="s">
        <v>64</v>
      </c>
      <c r="D28" s="13" t="s">
        <v>65</v>
      </c>
      <c r="E28" s="12" t="n">
        <v>4</v>
      </c>
      <c r="F28" s="12" t="n">
        <v>9</v>
      </c>
      <c r="G28" s="12" t="n">
        <v>0</v>
      </c>
      <c r="H28" s="12" t="n">
        <v>13</v>
      </c>
      <c r="I28" s="13" t="str">
        <f aca="false">E28&amp;"-"&amp;F28&amp;"-"&amp;G28</f>
        <v>4-9-0</v>
      </c>
      <c r="J28" s="14" t="n">
        <f aca="false">(E28+0.5*G28)/H28</f>
        <v>0.307692307692308</v>
      </c>
      <c r="K28" s="15" t="n">
        <v>1297</v>
      </c>
      <c r="L28" s="16" t="n">
        <f aca="false">K28/H28</f>
        <v>99.7692307692308</v>
      </c>
      <c r="M28" s="12" t="n">
        <f aca="false">SUMPRODUCT(($A$2:$A$181=A28)*($K$2:$K$181&gt;K28))+1</f>
        <v>10</v>
      </c>
      <c r="N28" s="12" t="n">
        <v>8</v>
      </c>
      <c r="O28" s="12" t="n">
        <f aca="false">IF(N28&lt;=6,1,0)</f>
        <v>0</v>
      </c>
      <c r="P28" s="12" t="n">
        <f aca="false">IF(N28=1,1,0)</f>
        <v>0</v>
      </c>
      <c r="Q28" s="12" t="n">
        <f aca="false">IF(N28&lt;=2,1,0)</f>
        <v>0</v>
      </c>
      <c r="R28" s="12" t="n">
        <f aca="false">IF(N28&lt;=3,1,0)</f>
        <v>0</v>
      </c>
    </row>
    <row r="29" customFormat="false" ht="15" hidden="false" customHeight="false" outlineLevel="0" collapsed="false">
      <c r="A29" s="7" t="n">
        <v>2013</v>
      </c>
      <c r="B29" s="7" t="n">
        <v>4</v>
      </c>
      <c r="C29" s="8" t="s">
        <v>60</v>
      </c>
      <c r="D29" s="8" t="s">
        <v>61</v>
      </c>
      <c r="E29" s="7" t="n">
        <v>8</v>
      </c>
      <c r="F29" s="7" t="n">
        <v>5</v>
      </c>
      <c r="G29" s="7" t="n">
        <v>0</v>
      </c>
      <c r="H29" s="7" t="n">
        <v>13</v>
      </c>
      <c r="I29" s="8" t="str">
        <f aca="false">E29&amp;"-"&amp;F29&amp;"-"&amp;G29</f>
        <v>8-5-0</v>
      </c>
      <c r="J29" s="9" t="n">
        <f aca="false">(E29+0.5*G29)/H29</f>
        <v>0.615384615384615</v>
      </c>
      <c r="K29" s="10" t="n">
        <v>1523</v>
      </c>
      <c r="L29" s="11" t="n">
        <f aca="false">K29/H29</f>
        <v>117.153846153846</v>
      </c>
      <c r="M29" s="7" t="n">
        <f aca="false">SUMPRODUCT(($A$2:$A$181=A29)*($K$2:$K$181&gt;K29))+1</f>
        <v>2</v>
      </c>
      <c r="N29" s="7" t="n">
        <v>1</v>
      </c>
      <c r="O29" s="7" t="n">
        <f aca="false">IF(N29&lt;=6,1,0)</f>
        <v>1</v>
      </c>
      <c r="P29" s="7" t="n">
        <f aca="false">IF(N29=1,1,0)</f>
        <v>1</v>
      </c>
      <c r="Q29" s="7" t="n">
        <f aca="false">IF(N29&lt;=2,1,0)</f>
        <v>1</v>
      </c>
      <c r="R29" s="7" t="n">
        <f aca="false">IF(N29&lt;=3,1,0)</f>
        <v>1</v>
      </c>
    </row>
    <row r="30" customFormat="false" ht="15" hidden="false" customHeight="false" outlineLevel="0" collapsed="false">
      <c r="A30" s="12" t="n">
        <v>2013</v>
      </c>
      <c r="B30" s="12" t="n">
        <v>5</v>
      </c>
      <c r="C30" s="13" t="s">
        <v>72</v>
      </c>
      <c r="D30" s="13" t="s">
        <v>73</v>
      </c>
      <c r="E30" s="12" t="n">
        <v>7</v>
      </c>
      <c r="F30" s="12" t="n">
        <v>6</v>
      </c>
      <c r="G30" s="12" t="n">
        <v>0</v>
      </c>
      <c r="H30" s="12" t="n">
        <v>13</v>
      </c>
      <c r="I30" s="13" t="str">
        <f aca="false">E30&amp;"-"&amp;F30&amp;"-"&amp;G30</f>
        <v>7-6-0</v>
      </c>
      <c r="J30" s="14" t="n">
        <f aca="false">(E30+0.5*G30)/H30</f>
        <v>0.538461538461538</v>
      </c>
      <c r="K30" s="15" t="n">
        <v>1298</v>
      </c>
      <c r="L30" s="16" t="n">
        <f aca="false">K30/H30</f>
        <v>99.8461538461538</v>
      </c>
      <c r="M30" s="12" t="n">
        <f aca="false">SUMPRODUCT(($A$2:$A$181=A30)*($K$2:$K$181&gt;K30))+1</f>
        <v>9</v>
      </c>
      <c r="N30" s="12" t="n">
        <v>10</v>
      </c>
      <c r="O30" s="12" t="n">
        <f aca="false">IF(N30&lt;=6,1,0)</f>
        <v>0</v>
      </c>
      <c r="P30" s="12" t="n">
        <f aca="false">IF(N30=1,1,0)</f>
        <v>0</v>
      </c>
      <c r="Q30" s="12" t="n">
        <f aca="false">IF(N30&lt;=2,1,0)</f>
        <v>0</v>
      </c>
      <c r="R30" s="12" t="n">
        <f aca="false">IF(N30&lt;=3,1,0)</f>
        <v>0</v>
      </c>
    </row>
    <row r="31" customFormat="false" ht="15" hidden="false" customHeight="false" outlineLevel="0" collapsed="false">
      <c r="A31" s="7" t="n">
        <v>2013</v>
      </c>
      <c r="B31" s="7" t="n">
        <v>6</v>
      </c>
      <c r="C31" s="8" t="s">
        <v>78</v>
      </c>
      <c r="D31" s="8" t="s">
        <v>69</v>
      </c>
      <c r="E31" s="7" t="n">
        <v>10</v>
      </c>
      <c r="F31" s="7" t="n">
        <v>3</v>
      </c>
      <c r="G31" s="7" t="n">
        <v>0</v>
      </c>
      <c r="H31" s="7" t="n">
        <v>13</v>
      </c>
      <c r="I31" s="8" t="str">
        <f aca="false">E31&amp;"-"&amp;F31&amp;"-"&amp;G31</f>
        <v>10-3-0</v>
      </c>
      <c r="J31" s="9" t="n">
        <f aca="false">(E31+0.5*G31)/H31</f>
        <v>0.769230769230769</v>
      </c>
      <c r="K31" s="10" t="n">
        <v>1396</v>
      </c>
      <c r="L31" s="11" t="n">
        <f aca="false">K31/H31</f>
        <v>107.384615384615</v>
      </c>
      <c r="M31" s="7" t="n">
        <f aca="false">SUMPRODUCT(($A$2:$A$181=A31)*($K$2:$K$181&gt;K31))+1</f>
        <v>4</v>
      </c>
      <c r="N31" s="7" t="n">
        <v>4</v>
      </c>
      <c r="O31" s="7" t="n">
        <f aca="false">IF(N31&lt;=6,1,0)</f>
        <v>1</v>
      </c>
      <c r="P31" s="7" t="n">
        <f aca="false">IF(N31=1,1,0)</f>
        <v>0</v>
      </c>
      <c r="Q31" s="7" t="n">
        <f aca="false">IF(N31&lt;=2,1,0)</f>
        <v>0</v>
      </c>
      <c r="R31" s="7" t="n">
        <f aca="false">IF(N31&lt;=3,1,0)</f>
        <v>0</v>
      </c>
    </row>
    <row r="32" customFormat="false" ht="15" hidden="false" customHeight="false" outlineLevel="0" collapsed="false">
      <c r="A32" s="12" t="n">
        <v>2013</v>
      </c>
      <c r="B32" s="12" t="n">
        <v>7</v>
      </c>
      <c r="C32" s="13" t="s">
        <v>74</v>
      </c>
      <c r="D32" s="13" t="s">
        <v>75</v>
      </c>
      <c r="E32" s="12" t="n">
        <v>4</v>
      </c>
      <c r="F32" s="12" t="n">
        <v>9</v>
      </c>
      <c r="G32" s="12" t="n">
        <v>0</v>
      </c>
      <c r="H32" s="12" t="n">
        <v>13</v>
      </c>
      <c r="I32" s="13" t="str">
        <f aca="false">E32&amp;"-"&amp;F32&amp;"-"&amp;G32</f>
        <v>4-9-0</v>
      </c>
      <c r="J32" s="14" t="n">
        <f aca="false">(E32+0.5*G32)/H32</f>
        <v>0.307692307692308</v>
      </c>
      <c r="K32" s="15" t="n">
        <v>1208</v>
      </c>
      <c r="L32" s="16" t="n">
        <f aca="false">K32/H32</f>
        <v>92.9230769230769</v>
      </c>
      <c r="M32" s="12" t="n">
        <f aca="false">SUMPRODUCT(($A$2:$A$181=A32)*($K$2:$K$181&gt;K32))+1</f>
        <v>12</v>
      </c>
      <c r="N32" s="12" t="n">
        <v>11</v>
      </c>
      <c r="O32" s="12" t="n">
        <f aca="false">IF(N32&lt;=6,1,0)</f>
        <v>0</v>
      </c>
      <c r="P32" s="12" t="n">
        <f aca="false">IF(N32=1,1,0)</f>
        <v>0</v>
      </c>
      <c r="Q32" s="12" t="n">
        <f aca="false">IF(N32&lt;=2,1,0)</f>
        <v>0</v>
      </c>
      <c r="R32" s="12" t="n">
        <f aca="false">IF(N32&lt;=3,1,0)</f>
        <v>0</v>
      </c>
    </row>
    <row r="33" customFormat="false" ht="15" hidden="false" customHeight="false" outlineLevel="0" collapsed="false">
      <c r="A33" s="12" t="n">
        <v>2013</v>
      </c>
      <c r="B33" s="12" t="n">
        <v>8</v>
      </c>
      <c r="C33" s="13" t="s">
        <v>58</v>
      </c>
      <c r="D33" s="13" t="s">
        <v>59</v>
      </c>
      <c r="E33" s="12" t="n">
        <v>4</v>
      </c>
      <c r="F33" s="12" t="n">
        <v>9</v>
      </c>
      <c r="G33" s="12" t="n">
        <v>0</v>
      </c>
      <c r="H33" s="12" t="n">
        <v>13</v>
      </c>
      <c r="I33" s="13" t="str">
        <f aca="false">E33&amp;"-"&amp;F33&amp;"-"&amp;G33</f>
        <v>4-9-0</v>
      </c>
      <c r="J33" s="14" t="n">
        <f aca="false">(E33+0.5*G33)/H33</f>
        <v>0.307692307692308</v>
      </c>
      <c r="K33" s="15" t="n">
        <v>1351</v>
      </c>
      <c r="L33" s="16" t="n">
        <f aca="false">K33/H33</f>
        <v>103.923076923077</v>
      </c>
      <c r="M33" s="12" t="n">
        <f aca="false">SUMPRODUCT(($A$2:$A$181=A33)*($K$2:$K$181&gt;K33))+1</f>
        <v>5</v>
      </c>
      <c r="N33" s="12" t="n">
        <v>7</v>
      </c>
      <c r="O33" s="12" t="n">
        <f aca="false">IF(N33&lt;=6,1,0)</f>
        <v>0</v>
      </c>
      <c r="P33" s="12" t="n">
        <f aca="false">IF(N33=1,1,0)</f>
        <v>0</v>
      </c>
      <c r="Q33" s="12" t="n">
        <f aca="false">IF(N33&lt;=2,1,0)</f>
        <v>0</v>
      </c>
      <c r="R33" s="12" t="n">
        <f aca="false">IF(N33&lt;=3,1,0)</f>
        <v>0</v>
      </c>
    </row>
    <row r="34" customFormat="false" ht="15" hidden="false" customHeight="false" outlineLevel="0" collapsed="false">
      <c r="A34" s="7" t="n">
        <v>2013</v>
      </c>
      <c r="B34" s="7" t="n">
        <v>9</v>
      </c>
      <c r="C34" s="8" t="s">
        <v>76</v>
      </c>
      <c r="D34" s="8" t="s">
        <v>77</v>
      </c>
      <c r="E34" s="7" t="n">
        <v>7</v>
      </c>
      <c r="F34" s="7" t="n">
        <v>6</v>
      </c>
      <c r="G34" s="7" t="n">
        <v>0</v>
      </c>
      <c r="H34" s="7" t="n">
        <v>13</v>
      </c>
      <c r="I34" s="8" t="str">
        <f aca="false">E34&amp;"-"&amp;F34&amp;"-"&amp;G34</f>
        <v>7-6-0</v>
      </c>
      <c r="J34" s="9" t="n">
        <f aca="false">(E34+0.5*G34)/H34</f>
        <v>0.538461538461538</v>
      </c>
      <c r="K34" s="10" t="n">
        <v>1325</v>
      </c>
      <c r="L34" s="11" t="n">
        <f aca="false">K34/H34</f>
        <v>101.923076923077</v>
      </c>
      <c r="M34" s="7" t="n">
        <f aca="false">SUMPRODUCT(($A$2:$A$181=A34)*($K$2:$K$181&gt;K34))+1</f>
        <v>6</v>
      </c>
      <c r="N34" s="7" t="n">
        <v>6</v>
      </c>
      <c r="O34" s="7" t="n">
        <f aca="false">IF(N34&lt;=6,1,0)</f>
        <v>1</v>
      </c>
      <c r="P34" s="7" t="n">
        <f aca="false">IF(N34=1,1,0)</f>
        <v>0</v>
      </c>
      <c r="Q34" s="7" t="n">
        <f aca="false">IF(N34&lt;=2,1,0)</f>
        <v>0</v>
      </c>
      <c r="R34" s="7" t="n">
        <f aca="false">IF(N34&lt;=3,1,0)</f>
        <v>0</v>
      </c>
    </row>
    <row r="35" customFormat="false" ht="15" hidden="false" customHeight="false" outlineLevel="0" collapsed="false">
      <c r="A35" s="7" t="n">
        <v>2013</v>
      </c>
      <c r="B35" s="7" t="n">
        <v>10</v>
      </c>
      <c r="C35" s="8" t="s">
        <v>62</v>
      </c>
      <c r="D35" s="8" t="s">
        <v>63</v>
      </c>
      <c r="E35" s="7" t="n">
        <v>9</v>
      </c>
      <c r="F35" s="7" t="n">
        <v>4</v>
      </c>
      <c r="G35" s="7" t="n">
        <v>0</v>
      </c>
      <c r="H35" s="7" t="n">
        <v>13</v>
      </c>
      <c r="I35" s="8" t="str">
        <f aca="false">E35&amp;"-"&amp;F35&amp;"-"&amp;G35</f>
        <v>9-4-0</v>
      </c>
      <c r="J35" s="9" t="n">
        <f aca="false">(E35+0.5*G35)/H35</f>
        <v>0.692307692307692</v>
      </c>
      <c r="K35" s="10" t="n">
        <v>1704</v>
      </c>
      <c r="L35" s="11" t="n">
        <f aca="false">K35/H35</f>
        <v>131.076923076923</v>
      </c>
      <c r="M35" s="7" t="n">
        <f aca="false">SUMPRODUCT(($A$2:$A$181=A35)*($K$2:$K$181&gt;K35))+1</f>
        <v>1</v>
      </c>
      <c r="N35" s="7" t="n">
        <v>3</v>
      </c>
      <c r="O35" s="7" t="n">
        <f aca="false">IF(N35&lt;=6,1,0)</f>
        <v>1</v>
      </c>
      <c r="P35" s="7" t="n">
        <f aca="false">IF(N35=1,1,0)</f>
        <v>0</v>
      </c>
      <c r="Q35" s="7" t="n">
        <f aca="false">IF(N35&lt;=2,1,0)</f>
        <v>0</v>
      </c>
      <c r="R35" s="7" t="n">
        <f aca="false">IF(N35&lt;=3,1,0)</f>
        <v>1</v>
      </c>
    </row>
    <row r="36" customFormat="false" ht="15" hidden="false" customHeight="false" outlineLevel="0" collapsed="false">
      <c r="A36" s="7" t="n">
        <v>2013</v>
      </c>
      <c r="B36" s="7" t="n">
        <v>11</v>
      </c>
      <c r="C36" s="8" t="s">
        <v>66</v>
      </c>
      <c r="D36" s="8" t="s">
        <v>67</v>
      </c>
      <c r="E36" s="7" t="n">
        <v>7</v>
      </c>
      <c r="F36" s="7" t="n">
        <v>6</v>
      </c>
      <c r="G36" s="7" t="n">
        <v>0</v>
      </c>
      <c r="H36" s="7" t="n">
        <v>13</v>
      </c>
      <c r="I36" s="8" t="str">
        <f aca="false">E36&amp;"-"&amp;F36&amp;"-"&amp;G36</f>
        <v>7-6-0</v>
      </c>
      <c r="J36" s="9" t="n">
        <f aca="false">(E36+0.5*G36)/H36</f>
        <v>0.538461538461538</v>
      </c>
      <c r="K36" s="10" t="n">
        <v>1310</v>
      </c>
      <c r="L36" s="11" t="n">
        <f aca="false">K36/H36</f>
        <v>100.769230769231</v>
      </c>
      <c r="M36" s="7" t="n">
        <f aca="false">SUMPRODUCT(($A$2:$A$181=A36)*($K$2:$K$181&gt;K36))+1</f>
        <v>7</v>
      </c>
      <c r="N36" s="7" t="n">
        <v>5</v>
      </c>
      <c r="O36" s="7" t="n">
        <f aca="false">IF(N36&lt;=6,1,0)</f>
        <v>1</v>
      </c>
      <c r="P36" s="7" t="n">
        <f aca="false">IF(N36=1,1,0)</f>
        <v>0</v>
      </c>
      <c r="Q36" s="7" t="n">
        <f aca="false">IF(N36&lt;=2,1,0)</f>
        <v>0</v>
      </c>
      <c r="R36" s="7" t="n">
        <f aca="false">IF(N36&lt;=3,1,0)</f>
        <v>0</v>
      </c>
    </row>
    <row r="37" customFormat="false" ht="15" hidden="false" customHeight="false" outlineLevel="0" collapsed="false">
      <c r="A37" s="12" t="n">
        <v>2013</v>
      </c>
      <c r="B37" s="12" t="n">
        <v>12</v>
      </c>
      <c r="C37" s="13" t="s">
        <v>56</v>
      </c>
      <c r="D37" s="13" t="s">
        <v>57</v>
      </c>
      <c r="E37" s="12" t="n">
        <v>2</v>
      </c>
      <c r="F37" s="12" t="n">
        <v>11</v>
      </c>
      <c r="G37" s="12" t="n">
        <v>0</v>
      </c>
      <c r="H37" s="12" t="n">
        <v>13</v>
      </c>
      <c r="I37" s="13" t="str">
        <f aca="false">E37&amp;"-"&amp;F37&amp;"-"&amp;G37</f>
        <v>2-11-0</v>
      </c>
      <c r="J37" s="14" t="n">
        <f aca="false">(E37+0.5*G37)/H37</f>
        <v>0.153846153846154</v>
      </c>
      <c r="K37" s="15" t="n">
        <v>1307</v>
      </c>
      <c r="L37" s="16" t="n">
        <f aca="false">K37/H37</f>
        <v>100.538461538462</v>
      </c>
      <c r="M37" s="12" t="n">
        <f aca="false">SUMPRODUCT(($A$2:$A$181=A37)*($K$2:$K$181&gt;K37))+1</f>
        <v>8</v>
      </c>
      <c r="N37" s="12" t="n">
        <v>12</v>
      </c>
      <c r="O37" s="12" t="n">
        <f aca="false">IF(N37&lt;=6,1,0)</f>
        <v>0</v>
      </c>
      <c r="P37" s="12" t="n">
        <f aca="false">IF(N37=1,1,0)</f>
        <v>0</v>
      </c>
      <c r="Q37" s="12" t="n">
        <f aca="false">IF(N37&lt;=2,1,0)</f>
        <v>0</v>
      </c>
      <c r="R37" s="12" t="n">
        <f aca="false">IF(N37&lt;=3,1,0)</f>
        <v>0</v>
      </c>
    </row>
    <row r="38" customFormat="false" ht="15" hidden="false" customHeight="false" outlineLevel="0" collapsed="false">
      <c r="A38" s="12" t="n">
        <v>2014</v>
      </c>
      <c r="B38" s="12" t="n">
        <v>1</v>
      </c>
      <c r="C38" s="13" t="s">
        <v>62</v>
      </c>
      <c r="D38" s="13" t="s">
        <v>63</v>
      </c>
      <c r="E38" s="12" t="n">
        <v>6</v>
      </c>
      <c r="F38" s="12" t="n">
        <v>7</v>
      </c>
      <c r="G38" s="12" t="n">
        <v>0</v>
      </c>
      <c r="H38" s="12" t="n">
        <v>13</v>
      </c>
      <c r="I38" s="13" t="str">
        <f aca="false">E38&amp;"-"&amp;F38&amp;"-"&amp;G38</f>
        <v>6-7-0</v>
      </c>
      <c r="J38" s="14" t="n">
        <f aca="false">(E38+0.5*G38)/H38</f>
        <v>0.461538461538462</v>
      </c>
      <c r="K38" s="15" t="n">
        <v>1255</v>
      </c>
      <c r="L38" s="16" t="n">
        <f aca="false">K38/H38</f>
        <v>96.5384615384615</v>
      </c>
      <c r="M38" s="12" t="n">
        <f aca="false">SUMPRODUCT(($A$2:$A$181=A38)*($K$2:$K$181&gt;K38))+1</f>
        <v>9</v>
      </c>
      <c r="N38" s="12" t="n">
        <v>9</v>
      </c>
      <c r="O38" s="12" t="n">
        <f aca="false">IF(N38&lt;=6,1,0)</f>
        <v>0</v>
      </c>
      <c r="P38" s="12" t="n">
        <f aca="false">IF(N38=1,1,0)</f>
        <v>0</v>
      </c>
      <c r="Q38" s="12" t="n">
        <f aca="false">IF(N38&lt;=2,1,0)</f>
        <v>0</v>
      </c>
      <c r="R38" s="12" t="n">
        <f aca="false">IF(N38&lt;=3,1,0)</f>
        <v>0</v>
      </c>
    </row>
    <row r="39" customFormat="false" ht="15" hidden="false" customHeight="false" outlineLevel="0" collapsed="false">
      <c r="A39" s="12" t="n">
        <v>2014</v>
      </c>
      <c r="B39" s="12" t="n">
        <v>2</v>
      </c>
      <c r="C39" s="13" t="s">
        <v>76</v>
      </c>
      <c r="D39" s="13" t="s">
        <v>77</v>
      </c>
      <c r="E39" s="12" t="n">
        <v>6</v>
      </c>
      <c r="F39" s="12" t="n">
        <v>7</v>
      </c>
      <c r="G39" s="12" t="n">
        <v>0</v>
      </c>
      <c r="H39" s="12" t="n">
        <v>13</v>
      </c>
      <c r="I39" s="13" t="str">
        <f aca="false">E39&amp;"-"&amp;F39&amp;"-"&amp;G39</f>
        <v>6-7-0</v>
      </c>
      <c r="J39" s="14" t="n">
        <f aca="false">(E39+0.5*G39)/H39</f>
        <v>0.461538461538462</v>
      </c>
      <c r="K39" s="15" t="n">
        <v>1258</v>
      </c>
      <c r="L39" s="16" t="n">
        <f aca="false">K39/H39</f>
        <v>96.7692307692308</v>
      </c>
      <c r="M39" s="12" t="n">
        <f aca="false">SUMPRODUCT(($A$2:$A$181=A39)*($K$2:$K$181&gt;K39))+1</f>
        <v>8</v>
      </c>
      <c r="N39" s="12" t="n">
        <v>7</v>
      </c>
      <c r="O39" s="12" t="n">
        <f aca="false">IF(N39&lt;=6,1,0)</f>
        <v>0</v>
      </c>
      <c r="P39" s="12" t="n">
        <f aca="false">IF(N39=1,1,0)</f>
        <v>0</v>
      </c>
      <c r="Q39" s="12" t="n">
        <f aca="false">IF(N39&lt;=2,1,0)</f>
        <v>0</v>
      </c>
      <c r="R39" s="12" t="n">
        <f aca="false">IF(N39&lt;=3,1,0)</f>
        <v>0</v>
      </c>
    </row>
    <row r="40" customFormat="false" ht="15" hidden="false" customHeight="false" outlineLevel="0" collapsed="false">
      <c r="A40" s="7" t="n">
        <v>2014</v>
      </c>
      <c r="B40" s="7" t="n">
        <v>3</v>
      </c>
      <c r="C40" s="8" t="s">
        <v>66</v>
      </c>
      <c r="D40" s="8" t="s">
        <v>67</v>
      </c>
      <c r="E40" s="7" t="n">
        <v>9</v>
      </c>
      <c r="F40" s="7" t="n">
        <v>4</v>
      </c>
      <c r="G40" s="7" t="n">
        <v>0</v>
      </c>
      <c r="H40" s="7" t="n">
        <v>13</v>
      </c>
      <c r="I40" s="8" t="str">
        <f aca="false">E40&amp;"-"&amp;F40&amp;"-"&amp;G40</f>
        <v>9-4-0</v>
      </c>
      <c r="J40" s="9" t="n">
        <f aca="false">(E40+0.5*G40)/H40</f>
        <v>0.692307692307692</v>
      </c>
      <c r="K40" s="10" t="n">
        <v>1545</v>
      </c>
      <c r="L40" s="11" t="n">
        <f aca="false">K40/H40</f>
        <v>118.846153846154</v>
      </c>
      <c r="M40" s="7" t="n">
        <f aca="false">SUMPRODUCT(($A$2:$A$181=A40)*($K$2:$K$181&gt;K40))+1</f>
        <v>2</v>
      </c>
      <c r="N40" s="7" t="n">
        <v>4</v>
      </c>
      <c r="O40" s="7" t="n">
        <f aca="false">IF(N40&lt;=6,1,0)</f>
        <v>1</v>
      </c>
      <c r="P40" s="7" t="n">
        <f aca="false">IF(N40=1,1,0)</f>
        <v>0</v>
      </c>
      <c r="Q40" s="7" t="n">
        <f aca="false">IF(N40&lt;=2,1,0)</f>
        <v>0</v>
      </c>
      <c r="R40" s="7" t="n">
        <f aca="false">IF(N40&lt;=3,1,0)</f>
        <v>0</v>
      </c>
    </row>
    <row r="41" customFormat="false" ht="15" hidden="false" customHeight="false" outlineLevel="0" collapsed="false">
      <c r="A41" s="12" t="n">
        <v>2014</v>
      </c>
      <c r="B41" s="12" t="n">
        <v>4</v>
      </c>
      <c r="C41" s="13" t="s">
        <v>58</v>
      </c>
      <c r="D41" s="13" t="s">
        <v>59</v>
      </c>
      <c r="E41" s="12" t="n">
        <v>4</v>
      </c>
      <c r="F41" s="12" t="n">
        <v>9</v>
      </c>
      <c r="G41" s="12" t="n">
        <v>0</v>
      </c>
      <c r="H41" s="12" t="n">
        <v>13</v>
      </c>
      <c r="I41" s="13" t="str">
        <f aca="false">E41&amp;"-"&amp;F41&amp;"-"&amp;G41</f>
        <v>4-9-0</v>
      </c>
      <c r="J41" s="14" t="n">
        <f aca="false">(E41+0.5*G41)/H41</f>
        <v>0.307692307692308</v>
      </c>
      <c r="K41" s="15" t="n">
        <v>1199</v>
      </c>
      <c r="L41" s="16" t="n">
        <f aca="false">K41/H41</f>
        <v>92.2307692307692</v>
      </c>
      <c r="M41" s="12" t="n">
        <f aca="false">SUMPRODUCT(($A$2:$A$181=A41)*($K$2:$K$181&gt;K41))+1</f>
        <v>11</v>
      </c>
      <c r="N41" s="12" t="n">
        <v>11</v>
      </c>
      <c r="O41" s="12" t="n">
        <f aca="false">IF(N41&lt;=6,1,0)</f>
        <v>0</v>
      </c>
      <c r="P41" s="12" t="n">
        <f aca="false">IF(N41=1,1,0)</f>
        <v>0</v>
      </c>
      <c r="Q41" s="12" t="n">
        <f aca="false">IF(N41&lt;=2,1,0)</f>
        <v>0</v>
      </c>
      <c r="R41" s="12" t="n">
        <f aca="false">IF(N41&lt;=3,1,0)</f>
        <v>0</v>
      </c>
    </row>
    <row r="42" customFormat="false" ht="15" hidden="false" customHeight="false" outlineLevel="0" collapsed="false">
      <c r="A42" s="7" t="n">
        <v>2014</v>
      </c>
      <c r="B42" s="7" t="n">
        <v>5</v>
      </c>
      <c r="C42" s="8" t="s">
        <v>56</v>
      </c>
      <c r="D42" s="8" t="s">
        <v>57</v>
      </c>
      <c r="E42" s="7" t="n">
        <v>9</v>
      </c>
      <c r="F42" s="7" t="n">
        <v>4</v>
      </c>
      <c r="G42" s="7" t="n">
        <v>0</v>
      </c>
      <c r="H42" s="7" t="n">
        <v>13</v>
      </c>
      <c r="I42" s="8" t="str">
        <f aca="false">E42&amp;"-"&amp;F42&amp;"-"&amp;G42</f>
        <v>9-4-0</v>
      </c>
      <c r="J42" s="9" t="n">
        <f aca="false">(E42+0.5*G42)/H42</f>
        <v>0.692307692307692</v>
      </c>
      <c r="K42" s="10" t="n">
        <v>1372</v>
      </c>
      <c r="L42" s="11" t="n">
        <f aca="false">K42/H42</f>
        <v>105.538461538462</v>
      </c>
      <c r="M42" s="7" t="n">
        <f aca="false">SUMPRODUCT(($A$2:$A$181=A42)*($K$2:$K$181&gt;K42))+1</f>
        <v>5</v>
      </c>
      <c r="N42" s="7" t="n">
        <v>6</v>
      </c>
      <c r="O42" s="7" t="n">
        <f aca="false">IF(N42&lt;=6,1,0)</f>
        <v>1</v>
      </c>
      <c r="P42" s="7" t="n">
        <f aca="false">IF(N42=1,1,0)</f>
        <v>0</v>
      </c>
      <c r="Q42" s="7" t="n">
        <f aca="false">IF(N42&lt;=2,1,0)</f>
        <v>0</v>
      </c>
      <c r="R42" s="7" t="n">
        <f aca="false">IF(N42&lt;=3,1,0)</f>
        <v>0</v>
      </c>
    </row>
    <row r="43" customFormat="false" ht="15" hidden="false" customHeight="false" outlineLevel="0" collapsed="false">
      <c r="A43" s="12" t="n">
        <v>2014</v>
      </c>
      <c r="B43" s="12" t="n">
        <v>6</v>
      </c>
      <c r="C43" s="13" t="s">
        <v>74</v>
      </c>
      <c r="D43" s="13" t="s">
        <v>75</v>
      </c>
      <c r="E43" s="12" t="n">
        <v>4</v>
      </c>
      <c r="F43" s="12" t="n">
        <v>9</v>
      </c>
      <c r="G43" s="12" t="n">
        <v>0</v>
      </c>
      <c r="H43" s="12" t="n">
        <v>13</v>
      </c>
      <c r="I43" s="13" t="str">
        <f aca="false">E43&amp;"-"&amp;F43&amp;"-"&amp;G43</f>
        <v>4-9-0</v>
      </c>
      <c r="J43" s="14" t="n">
        <f aca="false">(E43+0.5*G43)/H43</f>
        <v>0.307692307692308</v>
      </c>
      <c r="K43" s="15" t="n">
        <v>1253</v>
      </c>
      <c r="L43" s="16" t="n">
        <f aca="false">K43/H43</f>
        <v>96.3846153846154</v>
      </c>
      <c r="M43" s="12" t="n">
        <f aca="false">SUMPRODUCT(($A$2:$A$181=A43)*($K$2:$K$181&gt;K43))+1</f>
        <v>10</v>
      </c>
      <c r="N43" s="12" t="n">
        <v>12</v>
      </c>
      <c r="O43" s="12" t="n">
        <f aca="false">IF(N43&lt;=6,1,0)</f>
        <v>0</v>
      </c>
      <c r="P43" s="12" t="n">
        <f aca="false">IF(N43=1,1,0)</f>
        <v>0</v>
      </c>
      <c r="Q43" s="12" t="n">
        <f aca="false">IF(N43&lt;=2,1,0)</f>
        <v>0</v>
      </c>
      <c r="R43" s="12" t="n">
        <f aca="false">IF(N43&lt;=3,1,0)</f>
        <v>0</v>
      </c>
    </row>
    <row r="44" customFormat="false" ht="15" hidden="false" customHeight="false" outlineLevel="0" collapsed="false">
      <c r="A44" s="12" t="n">
        <v>2014</v>
      </c>
      <c r="B44" s="12" t="n">
        <v>7</v>
      </c>
      <c r="C44" s="13" t="s">
        <v>64</v>
      </c>
      <c r="D44" s="13" t="s">
        <v>65</v>
      </c>
      <c r="E44" s="12" t="n">
        <v>3</v>
      </c>
      <c r="F44" s="12" t="n">
        <v>10</v>
      </c>
      <c r="G44" s="12" t="n">
        <v>0</v>
      </c>
      <c r="H44" s="12" t="n">
        <v>13</v>
      </c>
      <c r="I44" s="13" t="str">
        <f aca="false">E44&amp;"-"&amp;F44&amp;"-"&amp;G44</f>
        <v>3-10-0</v>
      </c>
      <c r="J44" s="14" t="n">
        <f aca="false">(E44+0.5*G44)/H44</f>
        <v>0.230769230769231</v>
      </c>
      <c r="K44" s="15" t="n">
        <v>1326</v>
      </c>
      <c r="L44" s="16" t="n">
        <f aca="false">K44/H44</f>
        <v>102</v>
      </c>
      <c r="M44" s="12" t="n">
        <f aca="false">SUMPRODUCT(($A$2:$A$181=A44)*($K$2:$K$181&gt;K44))+1</f>
        <v>7</v>
      </c>
      <c r="N44" s="12" t="n">
        <v>8</v>
      </c>
      <c r="O44" s="12" t="n">
        <f aca="false">IF(N44&lt;=6,1,0)</f>
        <v>0</v>
      </c>
      <c r="P44" s="12" t="n">
        <f aca="false">IF(N44=1,1,0)</f>
        <v>0</v>
      </c>
      <c r="Q44" s="12" t="n">
        <f aca="false">IF(N44&lt;=2,1,0)</f>
        <v>0</v>
      </c>
      <c r="R44" s="12" t="n">
        <f aca="false">IF(N44&lt;=3,1,0)</f>
        <v>0</v>
      </c>
    </row>
    <row r="45" customFormat="false" ht="15" hidden="false" customHeight="false" outlineLevel="0" collapsed="false">
      <c r="A45" s="7" t="n">
        <v>2014</v>
      </c>
      <c r="B45" s="7" t="n">
        <v>8</v>
      </c>
      <c r="C45" s="8" t="s">
        <v>60</v>
      </c>
      <c r="D45" s="8" t="s">
        <v>61</v>
      </c>
      <c r="E45" s="7" t="n">
        <v>10</v>
      </c>
      <c r="F45" s="7" t="n">
        <v>3</v>
      </c>
      <c r="G45" s="7" t="n">
        <v>0</v>
      </c>
      <c r="H45" s="7" t="n">
        <v>13</v>
      </c>
      <c r="I45" s="8" t="str">
        <f aca="false">E45&amp;"-"&amp;F45&amp;"-"&amp;G45</f>
        <v>10-3-0</v>
      </c>
      <c r="J45" s="9" t="n">
        <f aca="false">(E45+0.5*G45)/H45</f>
        <v>0.769230769230769</v>
      </c>
      <c r="K45" s="10" t="n">
        <v>1620</v>
      </c>
      <c r="L45" s="11" t="n">
        <f aca="false">K45/H45</f>
        <v>124.615384615385</v>
      </c>
      <c r="M45" s="7" t="n">
        <f aca="false">SUMPRODUCT(($A$2:$A$181=A45)*($K$2:$K$181&gt;K45))+1</f>
        <v>1</v>
      </c>
      <c r="N45" s="7" t="n">
        <v>1</v>
      </c>
      <c r="O45" s="7" t="n">
        <f aca="false">IF(N45&lt;=6,1,0)</f>
        <v>1</v>
      </c>
      <c r="P45" s="7" t="n">
        <f aca="false">IF(N45=1,1,0)</f>
        <v>1</v>
      </c>
      <c r="Q45" s="7" t="n">
        <f aca="false">IF(N45&lt;=2,1,0)</f>
        <v>1</v>
      </c>
      <c r="R45" s="7" t="n">
        <f aca="false">IF(N45&lt;=3,1,0)</f>
        <v>1</v>
      </c>
    </row>
    <row r="46" customFormat="false" ht="15" hidden="false" customHeight="false" outlineLevel="0" collapsed="false">
      <c r="A46" s="7" t="n">
        <v>2014</v>
      </c>
      <c r="B46" s="7" t="n">
        <v>9</v>
      </c>
      <c r="C46" s="8" t="s">
        <v>54</v>
      </c>
      <c r="D46" s="8" t="s">
        <v>55</v>
      </c>
      <c r="E46" s="7" t="n">
        <v>7</v>
      </c>
      <c r="F46" s="7" t="n">
        <v>6</v>
      </c>
      <c r="G46" s="7" t="n">
        <v>0</v>
      </c>
      <c r="H46" s="7" t="n">
        <v>13</v>
      </c>
      <c r="I46" s="8" t="str">
        <f aca="false">E46&amp;"-"&amp;F46&amp;"-"&amp;G46</f>
        <v>7-6-0</v>
      </c>
      <c r="J46" s="9" t="n">
        <f aca="false">(E46+0.5*G46)/H46</f>
        <v>0.538461538461538</v>
      </c>
      <c r="K46" s="10" t="n">
        <v>1351</v>
      </c>
      <c r="L46" s="11" t="n">
        <f aca="false">K46/H46</f>
        <v>103.923076923077</v>
      </c>
      <c r="M46" s="7" t="n">
        <f aca="false">SUMPRODUCT(($A$2:$A$181=A46)*($K$2:$K$181&gt;K46))+1</f>
        <v>6</v>
      </c>
      <c r="N46" s="7" t="n">
        <v>5</v>
      </c>
      <c r="O46" s="7" t="n">
        <f aca="false">IF(N46&lt;=6,1,0)</f>
        <v>1</v>
      </c>
      <c r="P46" s="7" t="n">
        <f aca="false">IF(N46=1,1,0)</f>
        <v>0</v>
      </c>
      <c r="Q46" s="7" t="n">
        <f aca="false">IF(N46&lt;=2,1,0)</f>
        <v>0</v>
      </c>
      <c r="R46" s="7" t="n">
        <f aca="false">IF(N46&lt;=3,1,0)</f>
        <v>0</v>
      </c>
    </row>
    <row r="47" customFormat="false" ht="15" hidden="false" customHeight="false" outlineLevel="0" collapsed="false">
      <c r="A47" s="7" t="n">
        <v>2014</v>
      </c>
      <c r="B47" s="7" t="n">
        <v>10</v>
      </c>
      <c r="C47" s="8" t="s">
        <v>79</v>
      </c>
      <c r="D47" s="8" t="s">
        <v>69</v>
      </c>
      <c r="E47" s="7" t="n">
        <v>10</v>
      </c>
      <c r="F47" s="7" t="n">
        <v>3</v>
      </c>
      <c r="G47" s="7" t="n">
        <v>0</v>
      </c>
      <c r="H47" s="7" t="n">
        <v>13</v>
      </c>
      <c r="I47" s="8" t="str">
        <f aca="false">E47&amp;"-"&amp;F47&amp;"-"&amp;G47</f>
        <v>10-3-0</v>
      </c>
      <c r="J47" s="9" t="n">
        <f aca="false">(E47+0.5*G47)/H47</f>
        <v>0.769230769230769</v>
      </c>
      <c r="K47" s="10" t="n">
        <v>1530</v>
      </c>
      <c r="L47" s="11" t="n">
        <f aca="false">K47/H47</f>
        <v>117.692307692308</v>
      </c>
      <c r="M47" s="7" t="n">
        <f aca="false">SUMPRODUCT(($A$2:$A$181=A47)*($K$2:$K$181&gt;K47))+1</f>
        <v>3</v>
      </c>
      <c r="N47" s="7" t="n">
        <v>2</v>
      </c>
      <c r="O47" s="7" t="n">
        <f aca="false">IF(N47&lt;=6,1,0)</f>
        <v>1</v>
      </c>
      <c r="P47" s="7" t="n">
        <f aca="false">IF(N47=1,1,0)</f>
        <v>0</v>
      </c>
      <c r="Q47" s="7" t="n">
        <f aca="false">IF(N47&lt;=2,1,0)</f>
        <v>1</v>
      </c>
      <c r="R47" s="7" t="n">
        <f aca="false">IF(N47&lt;=3,1,0)</f>
        <v>1</v>
      </c>
    </row>
    <row r="48" customFormat="false" ht="15" hidden="false" customHeight="false" outlineLevel="0" collapsed="false">
      <c r="A48" s="7" t="n">
        <v>2014</v>
      </c>
      <c r="B48" s="7" t="n">
        <v>11</v>
      </c>
      <c r="C48" s="8" t="s">
        <v>72</v>
      </c>
      <c r="D48" s="8" t="s">
        <v>73</v>
      </c>
      <c r="E48" s="7" t="n">
        <v>7</v>
      </c>
      <c r="F48" s="7" t="n">
        <v>6</v>
      </c>
      <c r="G48" s="7" t="n">
        <v>0</v>
      </c>
      <c r="H48" s="7" t="n">
        <v>13</v>
      </c>
      <c r="I48" s="8" t="str">
        <f aca="false">E48&amp;"-"&amp;F48&amp;"-"&amp;G48</f>
        <v>7-6-0</v>
      </c>
      <c r="J48" s="9" t="n">
        <f aca="false">(E48+0.5*G48)/H48</f>
        <v>0.538461538461538</v>
      </c>
      <c r="K48" s="10" t="n">
        <v>1384</v>
      </c>
      <c r="L48" s="11" t="n">
        <f aca="false">K48/H48</f>
        <v>106.461538461538</v>
      </c>
      <c r="M48" s="7" t="n">
        <f aca="false">SUMPRODUCT(($A$2:$A$181=A48)*($K$2:$K$181&gt;K48))+1</f>
        <v>4</v>
      </c>
      <c r="N48" s="7" t="n">
        <v>3</v>
      </c>
      <c r="O48" s="7" t="n">
        <f aca="false">IF(N48&lt;=6,1,0)</f>
        <v>1</v>
      </c>
      <c r="P48" s="7" t="n">
        <f aca="false">IF(N48=1,1,0)</f>
        <v>0</v>
      </c>
      <c r="Q48" s="7" t="n">
        <f aca="false">IF(N48&lt;=2,1,0)</f>
        <v>0</v>
      </c>
      <c r="R48" s="7" t="n">
        <f aca="false">IF(N48&lt;=3,1,0)</f>
        <v>1</v>
      </c>
    </row>
    <row r="49" customFormat="false" ht="15" hidden="false" customHeight="false" outlineLevel="0" collapsed="false">
      <c r="A49" s="12" t="n">
        <v>2014</v>
      </c>
      <c r="B49" s="12" t="n">
        <v>12</v>
      </c>
      <c r="C49" s="13" t="s">
        <v>70</v>
      </c>
      <c r="D49" s="13" t="s">
        <v>71</v>
      </c>
      <c r="E49" s="12" t="n">
        <v>3</v>
      </c>
      <c r="F49" s="12" t="n">
        <v>10</v>
      </c>
      <c r="G49" s="12" t="n">
        <v>0</v>
      </c>
      <c r="H49" s="12" t="n">
        <v>13</v>
      </c>
      <c r="I49" s="13" t="str">
        <f aca="false">E49&amp;"-"&amp;F49&amp;"-"&amp;G49</f>
        <v>3-10-0</v>
      </c>
      <c r="J49" s="14" t="n">
        <f aca="false">(E49+0.5*G49)/H49</f>
        <v>0.230769230769231</v>
      </c>
      <c r="K49" s="15" t="n">
        <v>1120</v>
      </c>
      <c r="L49" s="16" t="n">
        <f aca="false">K49/H49</f>
        <v>86.1538461538462</v>
      </c>
      <c r="M49" s="12" t="n">
        <f aca="false">SUMPRODUCT(($A$2:$A$181=A49)*($K$2:$K$181&gt;K49))+1</f>
        <v>12</v>
      </c>
      <c r="N49" s="12" t="n">
        <v>10</v>
      </c>
      <c r="O49" s="12" t="n">
        <f aca="false">IF(N49&lt;=6,1,0)</f>
        <v>0</v>
      </c>
      <c r="P49" s="12" t="n">
        <f aca="false">IF(N49=1,1,0)</f>
        <v>0</v>
      </c>
      <c r="Q49" s="12" t="n">
        <f aca="false">IF(N49&lt;=2,1,0)</f>
        <v>0</v>
      </c>
      <c r="R49" s="12" t="n">
        <f aca="false">IF(N49&lt;=3,1,0)</f>
        <v>0</v>
      </c>
    </row>
    <row r="50" customFormat="false" ht="15" hidden="false" customHeight="false" outlineLevel="0" collapsed="false">
      <c r="A50" s="7" t="n">
        <v>2015</v>
      </c>
      <c r="B50" s="7" t="n">
        <v>1</v>
      </c>
      <c r="C50" s="8" t="s">
        <v>70</v>
      </c>
      <c r="D50" s="8" t="s">
        <v>71</v>
      </c>
      <c r="E50" s="7" t="n">
        <v>10</v>
      </c>
      <c r="F50" s="7" t="n">
        <v>3</v>
      </c>
      <c r="G50" s="7" t="n">
        <v>0</v>
      </c>
      <c r="H50" s="7" t="n">
        <v>13</v>
      </c>
      <c r="I50" s="8" t="str">
        <f aca="false">E50&amp;"-"&amp;F50&amp;"-"&amp;G50</f>
        <v>10-3-0</v>
      </c>
      <c r="J50" s="9" t="n">
        <f aca="false">(E50+0.5*G50)/H50</f>
        <v>0.769230769230769</v>
      </c>
      <c r="K50" s="10" t="n">
        <v>1472</v>
      </c>
      <c r="L50" s="11" t="n">
        <f aca="false">K50/H50</f>
        <v>113.230769230769</v>
      </c>
      <c r="M50" s="7" t="n">
        <f aca="false">SUMPRODUCT(($A$2:$A$181=A50)*($K$2:$K$181&gt;K50))+1</f>
        <v>2</v>
      </c>
      <c r="N50" s="7" t="n">
        <v>2</v>
      </c>
      <c r="O50" s="7" t="n">
        <f aca="false">IF(N50&lt;=6,1,0)</f>
        <v>1</v>
      </c>
      <c r="P50" s="7" t="n">
        <f aca="false">IF(N50=1,1,0)</f>
        <v>0</v>
      </c>
      <c r="Q50" s="7" t="n">
        <f aca="false">IF(N50&lt;=2,1,0)</f>
        <v>1</v>
      </c>
      <c r="R50" s="7" t="n">
        <f aca="false">IF(N50&lt;=3,1,0)</f>
        <v>1</v>
      </c>
    </row>
    <row r="51" customFormat="false" ht="15" hidden="false" customHeight="false" outlineLevel="0" collapsed="false">
      <c r="A51" s="7" t="n">
        <v>2015</v>
      </c>
      <c r="B51" s="7" t="n">
        <v>2</v>
      </c>
      <c r="C51" s="8" t="s">
        <v>79</v>
      </c>
      <c r="D51" s="8" t="s">
        <v>69</v>
      </c>
      <c r="E51" s="7" t="n">
        <v>8</v>
      </c>
      <c r="F51" s="7" t="n">
        <v>5</v>
      </c>
      <c r="G51" s="7" t="n">
        <v>0</v>
      </c>
      <c r="H51" s="7" t="n">
        <v>13</v>
      </c>
      <c r="I51" s="8" t="str">
        <f aca="false">E51&amp;"-"&amp;F51&amp;"-"&amp;G51</f>
        <v>8-5-0</v>
      </c>
      <c r="J51" s="9" t="n">
        <f aca="false">(E51+0.5*G51)/H51</f>
        <v>0.615384615384615</v>
      </c>
      <c r="K51" s="10" t="n">
        <v>1587</v>
      </c>
      <c r="L51" s="11" t="n">
        <f aca="false">K51/H51</f>
        <v>122.076923076923</v>
      </c>
      <c r="M51" s="7" t="n">
        <f aca="false">SUMPRODUCT(($A$2:$A$181=A51)*($K$2:$K$181&gt;K51))+1</f>
        <v>1</v>
      </c>
      <c r="N51" s="7" t="n">
        <v>5</v>
      </c>
      <c r="O51" s="7" t="n">
        <f aca="false">IF(N51&lt;=6,1,0)</f>
        <v>1</v>
      </c>
      <c r="P51" s="7" t="n">
        <f aca="false">IF(N51=1,1,0)</f>
        <v>0</v>
      </c>
      <c r="Q51" s="7" t="n">
        <f aca="false">IF(N51&lt;=2,1,0)</f>
        <v>0</v>
      </c>
      <c r="R51" s="7" t="n">
        <f aca="false">IF(N51&lt;=3,1,0)</f>
        <v>0</v>
      </c>
    </row>
    <row r="52" customFormat="false" ht="15" hidden="false" customHeight="false" outlineLevel="0" collapsed="false">
      <c r="A52" s="12" t="n">
        <v>2015</v>
      </c>
      <c r="B52" s="12" t="n">
        <v>3</v>
      </c>
      <c r="C52" s="13" t="s">
        <v>58</v>
      </c>
      <c r="D52" s="13" t="s">
        <v>59</v>
      </c>
      <c r="E52" s="12" t="n">
        <v>5</v>
      </c>
      <c r="F52" s="12" t="n">
        <v>8</v>
      </c>
      <c r="G52" s="12" t="n">
        <v>0</v>
      </c>
      <c r="H52" s="12" t="n">
        <v>13</v>
      </c>
      <c r="I52" s="13" t="str">
        <f aca="false">E52&amp;"-"&amp;F52&amp;"-"&amp;G52</f>
        <v>5-8-0</v>
      </c>
      <c r="J52" s="14" t="n">
        <f aca="false">(E52+0.5*G52)/H52</f>
        <v>0.384615384615385</v>
      </c>
      <c r="K52" s="15" t="n">
        <v>1325</v>
      </c>
      <c r="L52" s="16" t="n">
        <f aca="false">K52/H52</f>
        <v>101.923076923077</v>
      </c>
      <c r="M52" s="12" t="n">
        <f aca="false">SUMPRODUCT(($A$2:$A$181=A52)*($K$2:$K$181&gt;K52))+1</f>
        <v>7</v>
      </c>
      <c r="N52" s="12" t="n">
        <v>11</v>
      </c>
      <c r="O52" s="12" t="n">
        <f aca="false">IF(N52&lt;=6,1,0)</f>
        <v>0</v>
      </c>
      <c r="P52" s="12" t="n">
        <f aca="false">IF(N52=1,1,0)</f>
        <v>0</v>
      </c>
      <c r="Q52" s="12" t="n">
        <f aca="false">IF(N52&lt;=2,1,0)</f>
        <v>0</v>
      </c>
      <c r="R52" s="12" t="n">
        <f aca="false">IF(N52&lt;=3,1,0)</f>
        <v>0</v>
      </c>
    </row>
    <row r="53" customFormat="false" ht="15" hidden="false" customHeight="false" outlineLevel="0" collapsed="false">
      <c r="A53" s="7" t="n">
        <v>2015</v>
      </c>
      <c r="B53" s="7" t="n">
        <v>4</v>
      </c>
      <c r="C53" s="8" t="s">
        <v>62</v>
      </c>
      <c r="D53" s="8" t="s">
        <v>63</v>
      </c>
      <c r="E53" s="7" t="n">
        <v>5</v>
      </c>
      <c r="F53" s="7" t="n">
        <v>8</v>
      </c>
      <c r="G53" s="7" t="n">
        <v>0</v>
      </c>
      <c r="H53" s="7" t="n">
        <v>13</v>
      </c>
      <c r="I53" s="8" t="str">
        <f aca="false">E53&amp;"-"&amp;F53&amp;"-"&amp;G53</f>
        <v>5-8-0</v>
      </c>
      <c r="J53" s="9" t="n">
        <f aca="false">(E53+0.5*G53)/H53</f>
        <v>0.384615384615385</v>
      </c>
      <c r="K53" s="10" t="n">
        <v>1271</v>
      </c>
      <c r="L53" s="11" t="n">
        <f aca="false">K53/H53</f>
        <v>97.7692307692308</v>
      </c>
      <c r="M53" s="7" t="n">
        <f aca="false">SUMPRODUCT(($A$2:$A$181=A53)*($K$2:$K$181&gt;K53))+1</f>
        <v>9</v>
      </c>
      <c r="N53" s="7" t="n">
        <v>4</v>
      </c>
      <c r="O53" s="7" t="n">
        <f aca="false">IF(N53&lt;=6,1,0)</f>
        <v>1</v>
      </c>
      <c r="P53" s="7" t="n">
        <f aca="false">IF(N53=1,1,0)</f>
        <v>0</v>
      </c>
      <c r="Q53" s="7" t="n">
        <f aca="false">IF(N53&lt;=2,1,0)</f>
        <v>0</v>
      </c>
      <c r="R53" s="7" t="n">
        <f aca="false">IF(N53&lt;=3,1,0)</f>
        <v>0</v>
      </c>
    </row>
    <row r="54" customFormat="false" ht="15" hidden="false" customHeight="false" outlineLevel="0" collapsed="false">
      <c r="A54" s="12" t="n">
        <v>2015</v>
      </c>
      <c r="B54" s="12" t="n">
        <v>5</v>
      </c>
      <c r="C54" s="13" t="s">
        <v>72</v>
      </c>
      <c r="D54" s="13" t="s">
        <v>73</v>
      </c>
      <c r="E54" s="12" t="n">
        <v>5</v>
      </c>
      <c r="F54" s="12" t="n">
        <v>8</v>
      </c>
      <c r="G54" s="12" t="n">
        <v>0</v>
      </c>
      <c r="H54" s="12" t="n">
        <v>13</v>
      </c>
      <c r="I54" s="13" t="str">
        <f aca="false">E54&amp;"-"&amp;F54&amp;"-"&amp;G54</f>
        <v>5-8-0</v>
      </c>
      <c r="J54" s="14" t="n">
        <f aca="false">(E54+0.5*G54)/H54</f>
        <v>0.384615384615385</v>
      </c>
      <c r="K54" s="15" t="n">
        <v>1192</v>
      </c>
      <c r="L54" s="16" t="n">
        <f aca="false">K54/H54</f>
        <v>91.6923076923077</v>
      </c>
      <c r="M54" s="12" t="n">
        <f aca="false">SUMPRODUCT(($A$2:$A$181=A54)*($K$2:$K$181&gt;K54))+1</f>
        <v>11</v>
      </c>
      <c r="N54" s="12" t="n">
        <v>12</v>
      </c>
      <c r="O54" s="12" t="n">
        <f aca="false">IF(N54&lt;=6,1,0)</f>
        <v>0</v>
      </c>
      <c r="P54" s="12" t="n">
        <f aca="false">IF(N54=1,1,0)</f>
        <v>0</v>
      </c>
      <c r="Q54" s="12" t="n">
        <f aca="false">IF(N54&lt;=2,1,0)</f>
        <v>0</v>
      </c>
      <c r="R54" s="12" t="n">
        <f aca="false">IF(N54&lt;=3,1,0)</f>
        <v>0</v>
      </c>
    </row>
    <row r="55" customFormat="false" ht="15" hidden="false" customHeight="false" outlineLevel="0" collapsed="false">
      <c r="A55" s="12" t="n">
        <v>2015</v>
      </c>
      <c r="B55" s="12" t="n">
        <v>6</v>
      </c>
      <c r="C55" s="13" t="s">
        <v>56</v>
      </c>
      <c r="D55" s="13" t="s">
        <v>57</v>
      </c>
      <c r="E55" s="12" t="n">
        <v>5</v>
      </c>
      <c r="F55" s="12" t="n">
        <v>8</v>
      </c>
      <c r="G55" s="12" t="n">
        <v>0</v>
      </c>
      <c r="H55" s="12" t="n">
        <v>13</v>
      </c>
      <c r="I55" s="13" t="str">
        <f aca="false">E55&amp;"-"&amp;F55&amp;"-"&amp;G55</f>
        <v>5-8-0</v>
      </c>
      <c r="J55" s="14" t="n">
        <f aca="false">(E55+0.5*G55)/H55</f>
        <v>0.384615384615385</v>
      </c>
      <c r="K55" s="15" t="n">
        <v>1391</v>
      </c>
      <c r="L55" s="16" t="n">
        <f aca="false">K55/H55</f>
        <v>107</v>
      </c>
      <c r="M55" s="12" t="n">
        <f aca="false">SUMPRODUCT(($A$2:$A$181=A55)*($K$2:$K$181&gt;K55))+1</f>
        <v>3</v>
      </c>
      <c r="N55" s="12" t="n">
        <v>10</v>
      </c>
      <c r="O55" s="12" t="n">
        <f aca="false">IF(N55&lt;=6,1,0)</f>
        <v>0</v>
      </c>
      <c r="P55" s="12" t="n">
        <f aca="false">IF(N55=1,1,0)</f>
        <v>0</v>
      </c>
      <c r="Q55" s="12" t="n">
        <f aca="false">IF(N55&lt;=2,1,0)</f>
        <v>0</v>
      </c>
      <c r="R55" s="12" t="n">
        <f aca="false">IF(N55&lt;=3,1,0)</f>
        <v>0</v>
      </c>
    </row>
    <row r="56" customFormat="false" ht="15" hidden="false" customHeight="false" outlineLevel="0" collapsed="false">
      <c r="A56" s="7" t="n">
        <v>2015</v>
      </c>
      <c r="B56" s="7" t="n">
        <v>7</v>
      </c>
      <c r="C56" s="8" t="s">
        <v>60</v>
      </c>
      <c r="D56" s="8" t="s">
        <v>61</v>
      </c>
      <c r="E56" s="7" t="n">
        <v>8</v>
      </c>
      <c r="F56" s="7" t="n">
        <v>5</v>
      </c>
      <c r="G56" s="7" t="n">
        <v>0</v>
      </c>
      <c r="H56" s="7" t="n">
        <v>13</v>
      </c>
      <c r="I56" s="8" t="str">
        <f aca="false">E56&amp;"-"&amp;F56&amp;"-"&amp;G56</f>
        <v>8-5-0</v>
      </c>
      <c r="J56" s="9" t="n">
        <f aca="false">(E56+0.5*G56)/H56</f>
        <v>0.615384615384615</v>
      </c>
      <c r="K56" s="10" t="n">
        <v>1345</v>
      </c>
      <c r="L56" s="11" t="n">
        <f aca="false">K56/H56</f>
        <v>103.461538461538</v>
      </c>
      <c r="M56" s="7" t="n">
        <f aca="false">SUMPRODUCT(($A$2:$A$181=A56)*($K$2:$K$181&gt;K56))+1</f>
        <v>6</v>
      </c>
      <c r="N56" s="7" t="n">
        <v>6</v>
      </c>
      <c r="O56" s="7" t="n">
        <f aca="false">IF(N56&lt;=6,1,0)</f>
        <v>1</v>
      </c>
      <c r="P56" s="7" t="n">
        <f aca="false">IF(N56=1,1,0)</f>
        <v>0</v>
      </c>
      <c r="Q56" s="7" t="n">
        <f aca="false">IF(N56&lt;=2,1,0)</f>
        <v>0</v>
      </c>
      <c r="R56" s="7" t="n">
        <f aca="false">IF(N56&lt;=3,1,0)</f>
        <v>0</v>
      </c>
    </row>
    <row r="57" customFormat="false" ht="15" hidden="false" customHeight="false" outlineLevel="0" collapsed="false">
      <c r="A57" s="12" t="n">
        <v>2015</v>
      </c>
      <c r="B57" s="12" t="n">
        <v>8</v>
      </c>
      <c r="C57" s="13" t="s">
        <v>66</v>
      </c>
      <c r="D57" s="13" t="s">
        <v>67</v>
      </c>
      <c r="E57" s="12" t="n">
        <v>6</v>
      </c>
      <c r="F57" s="12" t="n">
        <v>7</v>
      </c>
      <c r="G57" s="12" t="n">
        <v>0</v>
      </c>
      <c r="H57" s="12" t="n">
        <v>13</v>
      </c>
      <c r="I57" s="13" t="str">
        <f aca="false">E57&amp;"-"&amp;F57&amp;"-"&amp;G57</f>
        <v>6-7-0</v>
      </c>
      <c r="J57" s="14" t="n">
        <f aca="false">(E57+0.5*G57)/H57</f>
        <v>0.461538461538462</v>
      </c>
      <c r="K57" s="15" t="n">
        <v>1271</v>
      </c>
      <c r="L57" s="16" t="n">
        <f aca="false">K57/H57</f>
        <v>97.7692307692308</v>
      </c>
      <c r="M57" s="12" t="n">
        <f aca="false">SUMPRODUCT(($A$2:$A$181=A57)*($K$2:$K$181&gt;K57))+1</f>
        <v>9</v>
      </c>
      <c r="N57" s="12" t="n">
        <v>8</v>
      </c>
      <c r="O57" s="12" t="n">
        <f aca="false">IF(N57&lt;=6,1,0)</f>
        <v>0</v>
      </c>
      <c r="P57" s="12" t="n">
        <f aca="false">IF(N57=1,1,0)</f>
        <v>0</v>
      </c>
      <c r="Q57" s="12" t="n">
        <f aca="false">IF(N57&lt;=2,1,0)</f>
        <v>0</v>
      </c>
      <c r="R57" s="12" t="n">
        <f aca="false">IF(N57&lt;=3,1,0)</f>
        <v>0</v>
      </c>
    </row>
    <row r="58" customFormat="false" ht="15" hidden="false" customHeight="false" outlineLevel="0" collapsed="false">
      <c r="A58" s="7" t="n">
        <v>2015</v>
      </c>
      <c r="B58" s="7" t="n">
        <v>9</v>
      </c>
      <c r="C58" s="8" t="s">
        <v>54</v>
      </c>
      <c r="D58" s="8" t="s">
        <v>55</v>
      </c>
      <c r="E58" s="7" t="n">
        <v>7</v>
      </c>
      <c r="F58" s="7" t="n">
        <v>6</v>
      </c>
      <c r="G58" s="7" t="n">
        <v>0</v>
      </c>
      <c r="H58" s="7" t="n">
        <v>13</v>
      </c>
      <c r="I58" s="8" t="str">
        <f aca="false">E58&amp;"-"&amp;F58&amp;"-"&amp;G58</f>
        <v>7-6-0</v>
      </c>
      <c r="J58" s="9" t="n">
        <f aca="false">(E58+0.5*G58)/H58</f>
        <v>0.538461538461538</v>
      </c>
      <c r="K58" s="10" t="n">
        <v>1382</v>
      </c>
      <c r="L58" s="11" t="n">
        <f aca="false">K58/H58</f>
        <v>106.307692307692</v>
      </c>
      <c r="M58" s="7" t="n">
        <f aca="false">SUMPRODUCT(($A$2:$A$181=A58)*($K$2:$K$181&gt;K58))+1</f>
        <v>4</v>
      </c>
      <c r="N58" s="7" t="n">
        <v>3</v>
      </c>
      <c r="O58" s="7" t="n">
        <f aca="false">IF(N58&lt;=6,1,0)</f>
        <v>1</v>
      </c>
      <c r="P58" s="7" t="n">
        <f aca="false">IF(N58=1,1,0)</f>
        <v>0</v>
      </c>
      <c r="Q58" s="7" t="n">
        <f aca="false">IF(N58&lt;=2,1,0)</f>
        <v>0</v>
      </c>
      <c r="R58" s="7" t="n">
        <f aca="false">IF(N58&lt;=3,1,0)</f>
        <v>1</v>
      </c>
    </row>
    <row r="59" customFormat="false" ht="15" hidden="false" customHeight="false" outlineLevel="0" collapsed="false">
      <c r="A59" s="7" t="n">
        <v>2015</v>
      </c>
      <c r="B59" s="7" t="n">
        <v>10</v>
      </c>
      <c r="C59" s="8" t="s">
        <v>74</v>
      </c>
      <c r="D59" s="8" t="s">
        <v>75</v>
      </c>
      <c r="E59" s="7" t="n">
        <v>8</v>
      </c>
      <c r="F59" s="7" t="n">
        <v>5</v>
      </c>
      <c r="G59" s="7" t="n">
        <v>0</v>
      </c>
      <c r="H59" s="7" t="n">
        <v>13</v>
      </c>
      <c r="I59" s="8" t="str">
        <f aca="false">E59&amp;"-"&amp;F59&amp;"-"&amp;G59</f>
        <v>8-5-0</v>
      </c>
      <c r="J59" s="9" t="n">
        <f aca="false">(E59+0.5*G59)/H59</f>
        <v>0.615384615384615</v>
      </c>
      <c r="K59" s="10" t="n">
        <v>1378</v>
      </c>
      <c r="L59" s="11" t="n">
        <f aca="false">K59/H59</f>
        <v>106</v>
      </c>
      <c r="M59" s="7" t="n">
        <f aca="false">SUMPRODUCT(($A$2:$A$181=A59)*($K$2:$K$181&gt;K59))+1</f>
        <v>5</v>
      </c>
      <c r="N59" s="7" t="n">
        <v>1</v>
      </c>
      <c r="O59" s="7" t="n">
        <f aca="false">IF(N59&lt;=6,1,0)</f>
        <v>1</v>
      </c>
      <c r="P59" s="7" t="n">
        <f aca="false">IF(N59=1,1,0)</f>
        <v>1</v>
      </c>
      <c r="Q59" s="7" t="n">
        <f aca="false">IF(N59&lt;=2,1,0)</f>
        <v>1</v>
      </c>
      <c r="R59" s="7" t="n">
        <f aca="false">IF(N59&lt;=3,1,0)</f>
        <v>1</v>
      </c>
    </row>
    <row r="60" customFormat="false" ht="15" hidden="false" customHeight="false" outlineLevel="0" collapsed="false">
      <c r="A60" s="12" t="n">
        <v>2015</v>
      </c>
      <c r="B60" s="12" t="n">
        <v>11</v>
      </c>
      <c r="C60" s="13" t="s">
        <v>64</v>
      </c>
      <c r="D60" s="13" t="s">
        <v>65</v>
      </c>
      <c r="E60" s="12" t="n">
        <v>5</v>
      </c>
      <c r="F60" s="12" t="n">
        <v>8</v>
      </c>
      <c r="G60" s="12" t="n">
        <v>0</v>
      </c>
      <c r="H60" s="12" t="n">
        <v>13</v>
      </c>
      <c r="I60" s="13" t="str">
        <f aca="false">E60&amp;"-"&amp;F60&amp;"-"&amp;G60</f>
        <v>5-8-0</v>
      </c>
      <c r="J60" s="14" t="n">
        <f aca="false">(E60+0.5*G60)/H60</f>
        <v>0.384615384615385</v>
      </c>
      <c r="K60" s="15" t="n">
        <v>1294</v>
      </c>
      <c r="L60" s="16" t="n">
        <f aca="false">K60/H60</f>
        <v>99.5384615384615</v>
      </c>
      <c r="M60" s="12" t="n">
        <f aca="false">SUMPRODUCT(($A$2:$A$181=A60)*($K$2:$K$181&gt;K60))+1</f>
        <v>8</v>
      </c>
      <c r="N60" s="12" t="n">
        <v>9</v>
      </c>
      <c r="O60" s="12" t="n">
        <f aca="false">IF(N60&lt;=6,1,0)</f>
        <v>0</v>
      </c>
      <c r="P60" s="12" t="n">
        <f aca="false">IF(N60=1,1,0)</f>
        <v>0</v>
      </c>
      <c r="Q60" s="12" t="n">
        <f aca="false">IF(N60&lt;=2,1,0)</f>
        <v>0</v>
      </c>
      <c r="R60" s="12" t="n">
        <f aca="false">IF(N60&lt;=3,1,0)</f>
        <v>0</v>
      </c>
    </row>
    <row r="61" customFormat="false" ht="15" hidden="false" customHeight="false" outlineLevel="0" collapsed="false">
      <c r="A61" s="12" t="n">
        <v>2015</v>
      </c>
      <c r="B61" s="12" t="n">
        <v>12</v>
      </c>
      <c r="C61" s="13" t="s">
        <v>76</v>
      </c>
      <c r="D61" s="13" t="s">
        <v>77</v>
      </c>
      <c r="E61" s="12" t="n">
        <v>6</v>
      </c>
      <c r="F61" s="12" t="n">
        <v>7</v>
      </c>
      <c r="G61" s="12" t="n">
        <v>0</v>
      </c>
      <c r="H61" s="12" t="n">
        <v>13</v>
      </c>
      <c r="I61" s="13" t="str">
        <f aca="false">E61&amp;"-"&amp;F61&amp;"-"&amp;G61</f>
        <v>6-7-0</v>
      </c>
      <c r="J61" s="14" t="n">
        <f aca="false">(E61+0.5*G61)/H61</f>
        <v>0.461538461538462</v>
      </c>
      <c r="K61" s="15" t="n">
        <v>1185</v>
      </c>
      <c r="L61" s="16" t="n">
        <f aca="false">K61/H61</f>
        <v>91.1538461538462</v>
      </c>
      <c r="M61" s="12" t="n">
        <f aca="false">SUMPRODUCT(($A$2:$A$181=A61)*($K$2:$K$181&gt;K61))+1</f>
        <v>12</v>
      </c>
      <c r="N61" s="12" t="n">
        <v>7</v>
      </c>
      <c r="O61" s="12" t="n">
        <f aca="false">IF(N61&lt;=6,1,0)</f>
        <v>0</v>
      </c>
      <c r="P61" s="12" t="n">
        <f aca="false">IF(N61=1,1,0)</f>
        <v>0</v>
      </c>
      <c r="Q61" s="12" t="n">
        <f aca="false">IF(N61&lt;=2,1,0)</f>
        <v>0</v>
      </c>
      <c r="R61" s="12" t="n">
        <f aca="false">IF(N61&lt;=3,1,0)</f>
        <v>0</v>
      </c>
    </row>
    <row r="62" customFormat="false" ht="15" hidden="false" customHeight="false" outlineLevel="0" collapsed="false">
      <c r="A62" s="7" t="n">
        <v>2016</v>
      </c>
      <c r="B62" s="7" t="n">
        <v>1</v>
      </c>
      <c r="C62" s="8" t="s">
        <v>64</v>
      </c>
      <c r="D62" s="8" t="s">
        <v>65</v>
      </c>
      <c r="E62" s="7" t="n">
        <v>10</v>
      </c>
      <c r="F62" s="7" t="n">
        <v>3</v>
      </c>
      <c r="G62" s="7" t="n">
        <v>0</v>
      </c>
      <c r="H62" s="7" t="n">
        <v>13</v>
      </c>
      <c r="I62" s="8" t="str">
        <f aca="false">E62&amp;"-"&amp;F62&amp;"-"&amp;G62</f>
        <v>10-3-0</v>
      </c>
      <c r="J62" s="9" t="n">
        <f aca="false">(E62+0.5*G62)/H62</f>
        <v>0.769230769230769</v>
      </c>
      <c r="K62" s="10" t="n">
        <v>1474</v>
      </c>
      <c r="L62" s="11" t="n">
        <f aca="false">K62/H62</f>
        <v>113.384615384615</v>
      </c>
      <c r="M62" s="7" t="n">
        <f aca="false">SUMPRODUCT(($A$2:$A$181=A62)*($K$2:$K$181&gt;K62))+1</f>
        <v>1</v>
      </c>
      <c r="N62" s="7" t="n">
        <v>1</v>
      </c>
      <c r="O62" s="7" t="n">
        <f aca="false">IF(N62&lt;=6,1,0)</f>
        <v>1</v>
      </c>
      <c r="P62" s="7" t="n">
        <f aca="false">IF(N62=1,1,0)</f>
        <v>1</v>
      </c>
      <c r="Q62" s="7" t="n">
        <f aca="false">IF(N62&lt;=2,1,0)</f>
        <v>1</v>
      </c>
      <c r="R62" s="7" t="n">
        <f aca="false">IF(N62&lt;=3,1,0)</f>
        <v>1</v>
      </c>
    </row>
    <row r="63" customFormat="false" ht="15" hidden="false" customHeight="false" outlineLevel="0" collapsed="false">
      <c r="A63" s="12" t="n">
        <v>2016</v>
      </c>
      <c r="B63" s="12" t="n">
        <v>2</v>
      </c>
      <c r="C63" s="13" t="s">
        <v>80</v>
      </c>
      <c r="D63" s="13" t="s">
        <v>81</v>
      </c>
      <c r="E63" s="12" t="n">
        <v>6</v>
      </c>
      <c r="F63" s="12" t="n">
        <v>7</v>
      </c>
      <c r="G63" s="12" t="n">
        <v>0</v>
      </c>
      <c r="H63" s="12" t="n">
        <v>13</v>
      </c>
      <c r="I63" s="13" t="str">
        <f aca="false">E63&amp;"-"&amp;F63&amp;"-"&amp;G63</f>
        <v>6-7-0</v>
      </c>
      <c r="J63" s="14" t="n">
        <f aca="false">(E63+0.5*G63)/H63</f>
        <v>0.461538461538462</v>
      </c>
      <c r="K63" s="15" t="n">
        <v>1307</v>
      </c>
      <c r="L63" s="16" t="n">
        <f aca="false">K63/H63</f>
        <v>100.538461538462</v>
      </c>
      <c r="M63" s="12" t="n">
        <f aca="false">SUMPRODUCT(($A$2:$A$181=A63)*($K$2:$K$181&gt;K63))+1</f>
        <v>7</v>
      </c>
      <c r="N63" s="12" t="n">
        <v>7</v>
      </c>
      <c r="O63" s="12" t="n">
        <f aca="false">IF(N63&lt;=6,1,0)</f>
        <v>0</v>
      </c>
      <c r="P63" s="12" t="n">
        <f aca="false">IF(N63=1,1,0)</f>
        <v>0</v>
      </c>
      <c r="Q63" s="12" t="n">
        <f aca="false">IF(N63&lt;=2,1,0)</f>
        <v>0</v>
      </c>
      <c r="R63" s="12" t="n">
        <f aca="false">IF(N63&lt;=3,1,0)</f>
        <v>0</v>
      </c>
    </row>
    <row r="64" customFormat="false" ht="15" hidden="false" customHeight="false" outlineLevel="0" collapsed="false">
      <c r="A64" s="7" t="n">
        <v>2016</v>
      </c>
      <c r="B64" s="7" t="n">
        <v>3</v>
      </c>
      <c r="C64" s="8" t="s">
        <v>72</v>
      </c>
      <c r="D64" s="8" t="s">
        <v>73</v>
      </c>
      <c r="E64" s="7" t="n">
        <v>8</v>
      </c>
      <c r="F64" s="7" t="n">
        <v>5</v>
      </c>
      <c r="G64" s="7" t="n">
        <v>0</v>
      </c>
      <c r="H64" s="7" t="n">
        <v>13</v>
      </c>
      <c r="I64" s="8" t="str">
        <f aca="false">E64&amp;"-"&amp;F64&amp;"-"&amp;G64</f>
        <v>8-5-0</v>
      </c>
      <c r="J64" s="9" t="n">
        <f aca="false">(E64+0.5*G64)/H64</f>
        <v>0.615384615384615</v>
      </c>
      <c r="K64" s="10" t="n">
        <v>1458</v>
      </c>
      <c r="L64" s="11" t="n">
        <f aca="false">K64/H64</f>
        <v>112.153846153846</v>
      </c>
      <c r="M64" s="7" t="n">
        <f aca="false">SUMPRODUCT(($A$2:$A$181=A64)*($K$2:$K$181&gt;K64))+1</f>
        <v>2</v>
      </c>
      <c r="N64" s="7" t="n">
        <v>2</v>
      </c>
      <c r="O64" s="7" t="n">
        <f aca="false">IF(N64&lt;=6,1,0)</f>
        <v>1</v>
      </c>
      <c r="P64" s="7" t="n">
        <f aca="false">IF(N64=1,1,0)</f>
        <v>0</v>
      </c>
      <c r="Q64" s="7" t="n">
        <f aca="false">IF(N64&lt;=2,1,0)</f>
        <v>1</v>
      </c>
      <c r="R64" s="7" t="n">
        <f aca="false">IF(N64&lt;=3,1,0)</f>
        <v>1</v>
      </c>
    </row>
    <row r="65" customFormat="false" ht="15" hidden="false" customHeight="false" outlineLevel="0" collapsed="false">
      <c r="A65" s="7" t="n">
        <v>2016</v>
      </c>
      <c r="B65" s="7" t="n">
        <v>4</v>
      </c>
      <c r="C65" s="8" t="s">
        <v>58</v>
      </c>
      <c r="D65" s="8" t="s">
        <v>59</v>
      </c>
      <c r="E65" s="7" t="n">
        <v>9</v>
      </c>
      <c r="F65" s="7" t="n">
        <v>4</v>
      </c>
      <c r="G65" s="7" t="n">
        <v>0</v>
      </c>
      <c r="H65" s="7" t="n">
        <v>13</v>
      </c>
      <c r="I65" s="8" t="str">
        <f aca="false">E65&amp;"-"&amp;F65&amp;"-"&amp;G65</f>
        <v>9-4-0</v>
      </c>
      <c r="J65" s="9" t="n">
        <f aca="false">(E65+0.5*G65)/H65</f>
        <v>0.692307692307692</v>
      </c>
      <c r="K65" s="10" t="n">
        <v>1441</v>
      </c>
      <c r="L65" s="11" t="n">
        <f aca="false">K65/H65</f>
        <v>110.846153846154</v>
      </c>
      <c r="M65" s="7" t="n">
        <f aca="false">SUMPRODUCT(($A$2:$A$181=A65)*($K$2:$K$181&gt;K65))+1</f>
        <v>4</v>
      </c>
      <c r="N65" s="7" t="n">
        <v>4</v>
      </c>
      <c r="O65" s="7" t="n">
        <f aca="false">IF(N65&lt;=6,1,0)</f>
        <v>1</v>
      </c>
      <c r="P65" s="7" t="n">
        <f aca="false">IF(N65=1,1,0)</f>
        <v>0</v>
      </c>
      <c r="Q65" s="7" t="n">
        <f aca="false">IF(N65&lt;=2,1,0)</f>
        <v>0</v>
      </c>
      <c r="R65" s="7" t="n">
        <f aca="false">IF(N65&lt;=3,1,0)</f>
        <v>0</v>
      </c>
    </row>
    <row r="66" customFormat="false" ht="15" hidden="false" customHeight="false" outlineLevel="0" collapsed="false">
      <c r="A66" s="7" t="n">
        <v>2016</v>
      </c>
      <c r="B66" s="7" t="n">
        <v>5</v>
      </c>
      <c r="C66" s="8" t="s">
        <v>82</v>
      </c>
      <c r="D66" s="8" t="s">
        <v>69</v>
      </c>
      <c r="E66" s="7" t="n">
        <v>8</v>
      </c>
      <c r="F66" s="7" t="n">
        <v>5</v>
      </c>
      <c r="G66" s="7" t="n">
        <v>0</v>
      </c>
      <c r="H66" s="7" t="n">
        <v>13</v>
      </c>
      <c r="I66" s="8" t="str">
        <f aca="false">E66&amp;"-"&amp;F66&amp;"-"&amp;G66</f>
        <v>8-5-0</v>
      </c>
      <c r="J66" s="9" t="n">
        <f aca="false">(E66+0.5*G66)/H66</f>
        <v>0.615384615384615</v>
      </c>
      <c r="K66" s="10" t="n">
        <v>1457</v>
      </c>
      <c r="L66" s="11" t="n">
        <f aca="false">K66/H66</f>
        <v>112.076923076923</v>
      </c>
      <c r="M66" s="7" t="n">
        <f aca="false">SUMPRODUCT(($A$2:$A$181=A66)*($K$2:$K$181&gt;K66))+1</f>
        <v>3</v>
      </c>
      <c r="N66" s="7" t="n">
        <v>3</v>
      </c>
      <c r="O66" s="7" t="n">
        <f aca="false">IF(N66&lt;=6,1,0)</f>
        <v>1</v>
      </c>
      <c r="P66" s="7" t="n">
        <f aca="false">IF(N66=1,1,0)</f>
        <v>0</v>
      </c>
      <c r="Q66" s="7" t="n">
        <f aca="false">IF(N66&lt;=2,1,0)</f>
        <v>0</v>
      </c>
      <c r="R66" s="7" t="n">
        <f aca="false">IF(N66&lt;=3,1,0)</f>
        <v>1</v>
      </c>
    </row>
    <row r="67" customFormat="false" ht="15" hidden="false" customHeight="false" outlineLevel="0" collapsed="false">
      <c r="A67" s="12" t="n">
        <v>2016</v>
      </c>
      <c r="B67" s="12" t="n">
        <v>6</v>
      </c>
      <c r="C67" s="13" t="s">
        <v>56</v>
      </c>
      <c r="D67" s="13" t="s">
        <v>57</v>
      </c>
      <c r="E67" s="12" t="n">
        <v>4</v>
      </c>
      <c r="F67" s="12" t="n">
        <v>9</v>
      </c>
      <c r="G67" s="12" t="n">
        <v>0</v>
      </c>
      <c r="H67" s="12" t="n">
        <v>13</v>
      </c>
      <c r="I67" s="13" t="str">
        <f aca="false">E67&amp;"-"&amp;F67&amp;"-"&amp;G67</f>
        <v>4-9-0</v>
      </c>
      <c r="J67" s="14" t="n">
        <f aca="false">(E67+0.5*G67)/H67</f>
        <v>0.307692307692308</v>
      </c>
      <c r="K67" s="15" t="n">
        <v>1387</v>
      </c>
      <c r="L67" s="16" t="n">
        <f aca="false">K67/H67</f>
        <v>106.692307692308</v>
      </c>
      <c r="M67" s="12" t="n">
        <f aca="false">SUMPRODUCT(($A$2:$A$181=A67)*($K$2:$K$181&gt;K67))+1</f>
        <v>5</v>
      </c>
      <c r="N67" s="12" t="n">
        <v>8</v>
      </c>
      <c r="O67" s="12" t="n">
        <f aca="false">IF(N67&lt;=6,1,0)</f>
        <v>0</v>
      </c>
      <c r="P67" s="12" t="n">
        <f aca="false">IF(N67=1,1,0)</f>
        <v>0</v>
      </c>
      <c r="Q67" s="12" t="n">
        <f aca="false">IF(N67&lt;=2,1,0)</f>
        <v>0</v>
      </c>
      <c r="R67" s="12" t="n">
        <f aca="false">IF(N67&lt;=3,1,0)</f>
        <v>0</v>
      </c>
    </row>
    <row r="68" customFormat="false" ht="15" hidden="false" customHeight="false" outlineLevel="0" collapsed="false">
      <c r="A68" s="12" t="n">
        <v>2016</v>
      </c>
      <c r="B68" s="12" t="n">
        <v>7</v>
      </c>
      <c r="C68" s="13" t="s">
        <v>70</v>
      </c>
      <c r="D68" s="13" t="s">
        <v>71</v>
      </c>
      <c r="E68" s="12" t="n">
        <v>4</v>
      </c>
      <c r="F68" s="12" t="n">
        <v>9</v>
      </c>
      <c r="G68" s="12" t="n">
        <v>0</v>
      </c>
      <c r="H68" s="12" t="n">
        <v>13</v>
      </c>
      <c r="I68" s="13" t="str">
        <f aca="false">E68&amp;"-"&amp;F68&amp;"-"&amp;G68</f>
        <v>4-9-0</v>
      </c>
      <c r="J68" s="14" t="n">
        <f aca="false">(E68+0.5*G68)/H68</f>
        <v>0.307692307692308</v>
      </c>
      <c r="K68" s="15" t="n">
        <v>1221</v>
      </c>
      <c r="L68" s="16" t="n">
        <f aca="false">K68/H68</f>
        <v>93.9230769230769</v>
      </c>
      <c r="M68" s="12" t="n">
        <f aca="false">SUMPRODUCT(($A$2:$A$181=A68)*($K$2:$K$181&gt;K68))+1</f>
        <v>11</v>
      </c>
      <c r="N68" s="12" t="n">
        <v>12</v>
      </c>
      <c r="O68" s="12" t="n">
        <f aca="false">IF(N68&lt;=6,1,0)</f>
        <v>0</v>
      </c>
      <c r="P68" s="12" t="n">
        <f aca="false">IF(N68=1,1,0)</f>
        <v>0</v>
      </c>
      <c r="Q68" s="12" t="n">
        <f aca="false">IF(N68&lt;=2,1,0)</f>
        <v>0</v>
      </c>
      <c r="R68" s="12" t="n">
        <f aca="false">IF(N68&lt;=3,1,0)</f>
        <v>0</v>
      </c>
    </row>
    <row r="69" customFormat="false" ht="15" hidden="false" customHeight="false" outlineLevel="0" collapsed="false">
      <c r="A69" s="7" t="n">
        <v>2016</v>
      </c>
      <c r="B69" s="7" t="n">
        <v>8</v>
      </c>
      <c r="C69" s="8" t="s">
        <v>66</v>
      </c>
      <c r="D69" s="8" t="s">
        <v>67</v>
      </c>
      <c r="E69" s="7" t="n">
        <v>6</v>
      </c>
      <c r="F69" s="7" t="n">
        <v>7</v>
      </c>
      <c r="G69" s="7" t="n">
        <v>0</v>
      </c>
      <c r="H69" s="7" t="n">
        <v>13</v>
      </c>
      <c r="I69" s="8" t="str">
        <f aca="false">E69&amp;"-"&amp;F69&amp;"-"&amp;G69</f>
        <v>6-7-0</v>
      </c>
      <c r="J69" s="9" t="n">
        <f aca="false">(E69+0.5*G69)/H69</f>
        <v>0.461538461538462</v>
      </c>
      <c r="K69" s="10" t="n">
        <v>1262</v>
      </c>
      <c r="L69" s="11" t="n">
        <f aca="false">K69/H69</f>
        <v>97.0769230769231</v>
      </c>
      <c r="M69" s="7" t="n">
        <f aca="false">SUMPRODUCT(($A$2:$A$181=A69)*($K$2:$K$181&gt;K69))+1</f>
        <v>9</v>
      </c>
      <c r="N69" s="7" t="n">
        <v>6</v>
      </c>
      <c r="O69" s="7" t="n">
        <f aca="false">IF(N69&lt;=6,1,0)</f>
        <v>1</v>
      </c>
      <c r="P69" s="7" t="n">
        <f aca="false">IF(N69=1,1,0)</f>
        <v>0</v>
      </c>
      <c r="Q69" s="7" t="n">
        <f aca="false">IF(N69&lt;=2,1,0)</f>
        <v>0</v>
      </c>
      <c r="R69" s="7" t="n">
        <f aca="false">IF(N69&lt;=3,1,0)</f>
        <v>0</v>
      </c>
    </row>
    <row r="70" customFormat="false" ht="15" hidden="false" customHeight="false" outlineLevel="0" collapsed="false">
      <c r="A70" s="12" t="n">
        <v>2016</v>
      </c>
      <c r="B70" s="12" t="n">
        <v>9</v>
      </c>
      <c r="C70" s="13" t="s">
        <v>60</v>
      </c>
      <c r="D70" s="13" t="s">
        <v>61</v>
      </c>
      <c r="E70" s="12" t="n">
        <v>4</v>
      </c>
      <c r="F70" s="12" t="n">
        <v>9</v>
      </c>
      <c r="G70" s="12" t="n">
        <v>0</v>
      </c>
      <c r="H70" s="12" t="n">
        <v>13</v>
      </c>
      <c r="I70" s="13" t="str">
        <f aca="false">E70&amp;"-"&amp;F70&amp;"-"&amp;G70</f>
        <v>4-9-0</v>
      </c>
      <c r="J70" s="14" t="n">
        <f aca="false">(E70+0.5*G70)/H70</f>
        <v>0.307692307692308</v>
      </c>
      <c r="K70" s="15" t="n">
        <v>1282</v>
      </c>
      <c r="L70" s="16" t="n">
        <f aca="false">K70/H70</f>
        <v>98.6153846153846</v>
      </c>
      <c r="M70" s="12" t="n">
        <f aca="false">SUMPRODUCT(($A$2:$A$181=A70)*($K$2:$K$181&gt;K70))+1</f>
        <v>8</v>
      </c>
      <c r="N70" s="12" t="n">
        <v>10</v>
      </c>
      <c r="O70" s="12" t="n">
        <f aca="false">IF(N70&lt;=6,1,0)</f>
        <v>0</v>
      </c>
      <c r="P70" s="12" t="n">
        <f aca="false">IF(N70=1,1,0)</f>
        <v>0</v>
      </c>
      <c r="Q70" s="12" t="n">
        <f aca="false">IF(N70&lt;=2,1,0)</f>
        <v>0</v>
      </c>
      <c r="R70" s="12" t="n">
        <f aca="false">IF(N70&lt;=3,1,0)</f>
        <v>0</v>
      </c>
    </row>
    <row r="71" customFormat="false" ht="15" hidden="false" customHeight="false" outlineLevel="0" collapsed="false">
      <c r="A71" s="12" t="n">
        <v>2016</v>
      </c>
      <c r="B71" s="12" t="n">
        <v>10</v>
      </c>
      <c r="C71" s="13" t="s">
        <v>76</v>
      </c>
      <c r="D71" s="13" t="s">
        <v>77</v>
      </c>
      <c r="E71" s="12" t="n">
        <v>6</v>
      </c>
      <c r="F71" s="12" t="n">
        <v>7</v>
      </c>
      <c r="G71" s="12" t="n">
        <v>0</v>
      </c>
      <c r="H71" s="12" t="n">
        <v>13</v>
      </c>
      <c r="I71" s="13" t="str">
        <f aca="false">E71&amp;"-"&amp;F71&amp;"-"&amp;G71</f>
        <v>6-7-0</v>
      </c>
      <c r="J71" s="14" t="n">
        <f aca="false">(E71+0.5*G71)/H71</f>
        <v>0.461538461538462</v>
      </c>
      <c r="K71" s="15" t="n">
        <v>1247</v>
      </c>
      <c r="L71" s="16" t="n">
        <f aca="false">K71/H71</f>
        <v>95.9230769230769</v>
      </c>
      <c r="M71" s="12" t="n">
        <f aca="false">SUMPRODUCT(($A$2:$A$181=A71)*($K$2:$K$181&gt;K71))+1</f>
        <v>10</v>
      </c>
      <c r="N71" s="12" t="n">
        <v>9</v>
      </c>
      <c r="O71" s="12" t="n">
        <f aca="false">IF(N71&lt;=6,1,0)</f>
        <v>0</v>
      </c>
      <c r="P71" s="12" t="n">
        <f aca="false">IF(N71=1,1,0)</f>
        <v>0</v>
      </c>
      <c r="Q71" s="12" t="n">
        <f aca="false">IF(N71&lt;=2,1,0)</f>
        <v>0</v>
      </c>
      <c r="R71" s="12" t="n">
        <f aca="false">IF(N71&lt;=3,1,0)</f>
        <v>0</v>
      </c>
    </row>
    <row r="72" customFormat="false" ht="15" hidden="false" customHeight="false" outlineLevel="0" collapsed="false">
      <c r="A72" s="7" t="n">
        <v>2016</v>
      </c>
      <c r="B72" s="7" t="n">
        <v>11</v>
      </c>
      <c r="C72" s="8" t="s">
        <v>62</v>
      </c>
      <c r="D72" s="8" t="s">
        <v>63</v>
      </c>
      <c r="E72" s="7" t="n">
        <v>9</v>
      </c>
      <c r="F72" s="7" t="n">
        <v>4</v>
      </c>
      <c r="G72" s="7" t="n">
        <v>0</v>
      </c>
      <c r="H72" s="7" t="n">
        <v>13</v>
      </c>
      <c r="I72" s="8" t="str">
        <f aca="false">E72&amp;"-"&amp;F72&amp;"-"&amp;G72</f>
        <v>9-4-0</v>
      </c>
      <c r="J72" s="9" t="n">
        <f aca="false">(E72+0.5*G72)/H72</f>
        <v>0.692307692307692</v>
      </c>
      <c r="K72" s="10" t="n">
        <v>1378</v>
      </c>
      <c r="L72" s="11" t="n">
        <f aca="false">K72/H72</f>
        <v>106</v>
      </c>
      <c r="M72" s="7" t="n">
        <f aca="false">SUMPRODUCT(($A$2:$A$181=A72)*($K$2:$K$181&gt;K72))+1</f>
        <v>6</v>
      </c>
      <c r="N72" s="7" t="n">
        <v>5</v>
      </c>
      <c r="O72" s="7" t="n">
        <f aca="false">IF(N72&lt;=6,1,0)</f>
        <v>1</v>
      </c>
      <c r="P72" s="7" t="n">
        <f aca="false">IF(N72=1,1,0)</f>
        <v>0</v>
      </c>
      <c r="Q72" s="7" t="n">
        <f aca="false">IF(N72&lt;=2,1,0)</f>
        <v>0</v>
      </c>
      <c r="R72" s="7" t="n">
        <f aca="false">IF(N72&lt;=3,1,0)</f>
        <v>0</v>
      </c>
    </row>
    <row r="73" customFormat="false" ht="15" hidden="false" customHeight="false" outlineLevel="0" collapsed="false">
      <c r="A73" s="12" t="n">
        <v>2016</v>
      </c>
      <c r="B73" s="12" t="n">
        <v>12</v>
      </c>
      <c r="C73" s="13" t="s">
        <v>54</v>
      </c>
      <c r="D73" s="13" t="s">
        <v>55</v>
      </c>
      <c r="E73" s="12" t="n">
        <v>4</v>
      </c>
      <c r="F73" s="12" t="n">
        <v>9</v>
      </c>
      <c r="G73" s="12" t="n">
        <v>0</v>
      </c>
      <c r="H73" s="12" t="n">
        <v>13</v>
      </c>
      <c r="I73" s="13" t="str">
        <f aca="false">E73&amp;"-"&amp;F73&amp;"-"&amp;G73</f>
        <v>4-9-0</v>
      </c>
      <c r="J73" s="14" t="n">
        <f aca="false">(E73+0.5*G73)/H73</f>
        <v>0.307692307692308</v>
      </c>
      <c r="K73" s="15" t="n">
        <v>1159</v>
      </c>
      <c r="L73" s="16" t="n">
        <f aca="false">K73/H73</f>
        <v>89.1538461538462</v>
      </c>
      <c r="M73" s="12" t="n">
        <f aca="false">SUMPRODUCT(($A$2:$A$181=A73)*($K$2:$K$181&gt;K73))+1</f>
        <v>12</v>
      </c>
      <c r="N73" s="12" t="n">
        <v>11</v>
      </c>
      <c r="O73" s="12" t="n">
        <f aca="false">IF(N73&lt;=6,1,0)</f>
        <v>0</v>
      </c>
      <c r="P73" s="12" t="n">
        <f aca="false">IF(N73=1,1,0)</f>
        <v>0</v>
      </c>
      <c r="Q73" s="12" t="n">
        <f aca="false">IF(N73&lt;=2,1,0)</f>
        <v>0</v>
      </c>
      <c r="R73" s="12" t="n">
        <f aca="false">IF(N73&lt;=3,1,0)</f>
        <v>0</v>
      </c>
    </row>
    <row r="74" customFormat="false" ht="15" hidden="false" customHeight="false" outlineLevel="0" collapsed="false">
      <c r="A74" s="7" t="n">
        <v>2017</v>
      </c>
      <c r="B74" s="7" t="n">
        <v>1</v>
      </c>
      <c r="C74" s="8" t="s">
        <v>64</v>
      </c>
      <c r="D74" s="8" t="s">
        <v>65</v>
      </c>
      <c r="E74" s="7" t="n">
        <v>10</v>
      </c>
      <c r="F74" s="7" t="n">
        <v>3</v>
      </c>
      <c r="G74" s="7" t="n">
        <v>0</v>
      </c>
      <c r="H74" s="7" t="n">
        <v>13</v>
      </c>
      <c r="I74" s="8" t="str">
        <f aca="false">E74&amp;"-"&amp;F74&amp;"-"&amp;G74</f>
        <v>10-3-0</v>
      </c>
      <c r="J74" s="9" t="n">
        <f aca="false">(E74+0.5*G74)/H74</f>
        <v>0.769230769230769</v>
      </c>
      <c r="K74" s="10" t="n">
        <v>1402</v>
      </c>
      <c r="L74" s="11" t="n">
        <f aca="false">K74/H74</f>
        <v>107.846153846154</v>
      </c>
      <c r="M74" s="7" t="n">
        <f aca="false">SUMPRODUCT(($A$2:$A$181=A74)*($K$2:$K$181&gt;K74))+1</f>
        <v>2</v>
      </c>
      <c r="N74" s="7" t="n">
        <v>4</v>
      </c>
      <c r="O74" s="7" t="n">
        <f aca="false">IF(N74&lt;=6,1,0)</f>
        <v>1</v>
      </c>
      <c r="P74" s="7" t="n">
        <f aca="false">IF(N74=1,1,0)</f>
        <v>0</v>
      </c>
      <c r="Q74" s="7" t="n">
        <f aca="false">IF(N74&lt;=2,1,0)</f>
        <v>0</v>
      </c>
      <c r="R74" s="7" t="n">
        <f aca="false">IF(N74&lt;=3,1,0)</f>
        <v>0</v>
      </c>
    </row>
    <row r="75" customFormat="false" ht="15" hidden="false" customHeight="false" outlineLevel="0" collapsed="false">
      <c r="A75" s="12" t="n">
        <v>2017</v>
      </c>
      <c r="B75" s="12" t="n">
        <v>2</v>
      </c>
      <c r="C75" s="13" t="s">
        <v>72</v>
      </c>
      <c r="D75" s="13" t="s">
        <v>73</v>
      </c>
      <c r="E75" s="12" t="n">
        <v>4</v>
      </c>
      <c r="F75" s="12" t="n">
        <v>9</v>
      </c>
      <c r="G75" s="12" t="n">
        <v>0</v>
      </c>
      <c r="H75" s="12" t="n">
        <v>13</v>
      </c>
      <c r="I75" s="13" t="str">
        <f aca="false">E75&amp;"-"&amp;F75&amp;"-"&amp;G75</f>
        <v>4-9-0</v>
      </c>
      <c r="J75" s="14" t="n">
        <f aca="false">(E75+0.5*G75)/H75</f>
        <v>0.307692307692308</v>
      </c>
      <c r="K75" s="15" t="n">
        <v>1331</v>
      </c>
      <c r="L75" s="16" t="n">
        <f aca="false">K75/H75</f>
        <v>102.384615384615</v>
      </c>
      <c r="M75" s="12" t="n">
        <f aca="false">SUMPRODUCT(($A$2:$A$181=A75)*($K$2:$K$181&gt;K75))+1</f>
        <v>3</v>
      </c>
      <c r="N75" s="12" t="n">
        <v>10</v>
      </c>
      <c r="O75" s="12" t="n">
        <f aca="false">IF(N75&lt;=6,1,0)</f>
        <v>0</v>
      </c>
      <c r="P75" s="12" t="n">
        <f aca="false">IF(N75=1,1,0)</f>
        <v>0</v>
      </c>
      <c r="Q75" s="12" t="n">
        <f aca="false">IF(N75&lt;=2,1,0)</f>
        <v>0</v>
      </c>
      <c r="R75" s="12" t="n">
        <f aca="false">IF(N75&lt;=3,1,0)</f>
        <v>0</v>
      </c>
    </row>
    <row r="76" customFormat="false" ht="15" hidden="false" customHeight="false" outlineLevel="0" collapsed="false">
      <c r="A76" s="7" t="n">
        <v>2017</v>
      </c>
      <c r="B76" s="7" t="n">
        <v>3</v>
      </c>
      <c r="C76" s="8" t="s">
        <v>82</v>
      </c>
      <c r="D76" s="8" t="s">
        <v>69</v>
      </c>
      <c r="E76" s="7" t="n">
        <v>12</v>
      </c>
      <c r="F76" s="7" t="n">
        <v>1</v>
      </c>
      <c r="G76" s="7" t="n">
        <v>0</v>
      </c>
      <c r="H76" s="7" t="n">
        <v>13</v>
      </c>
      <c r="I76" s="8" t="str">
        <f aca="false">E76&amp;"-"&amp;F76&amp;"-"&amp;G76</f>
        <v>12-1-0</v>
      </c>
      <c r="J76" s="9" t="n">
        <f aca="false">(E76+0.5*G76)/H76</f>
        <v>0.923076923076923</v>
      </c>
      <c r="K76" s="10" t="n">
        <v>1618</v>
      </c>
      <c r="L76" s="11" t="n">
        <f aca="false">K76/H76</f>
        <v>124.461538461538</v>
      </c>
      <c r="M76" s="7" t="n">
        <f aca="false">SUMPRODUCT(($A$2:$A$181=A76)*($K$2:$K$181&gt;K76))+1</f>
        <v>1</v>
      </c>
      <c r="N76" s="7" t="n">
        <v>2</v>
      </c>
      <c r="O76" s="7" t="n">
        <f aca="false">IF(N76&lt;=6,1,0)</f>
        <v>1</v>
      </c>
      <c r="P76" s="7" t="n">
        <f aca="false">IF(N76=1,1,0)</f>
        <v>0</v>
      </c>
      <c r="Q76" s="7" t="n">
        <f aca="false">IF(N76&lt;=2,1,0)</f>
        <v>1</v>
      </c>
      <c r="R76" s="7" t="n">
        <f aca="false">IF(N76&lt;=3,1,0)</f>
        <v>1</v>
      </c>
    </row>
    <row r="77" customFormat="false" ht="15" hidden="false" customHeight="false" outlineLevel="0" collapsed="false">
      <c r="A77" s="12" t="n">
        <v>2017</v>
      </c>
      <c r="B77" s="12" t="n">
        <v>4</v>
      </c>
      <c r="C77" s="13" t="s">
        <v>70</v>
      </c>
      <c r="D77" s="13" t="s">
        <v>71</v>
      </c>
      <c r="E77" s="12" t="n">
        <v>6</v>
      </c>
      <c r="F77" s="12" t="n">
        <v>7</v>
      </c>
      <c r="G77" s="12" t="n">
        <v>0</v>
      </c>
      <c r="H77" s="12" t="n">
        <v>13</v>
      </c>
      <c r="I77" s="13" t="str">
        <f aca="false">E77&amp;"-"&amp;F77&amp;"-"&amp;G77</f>
        <v>6-7-0</v>
      </c>
      <c r="J77" s="14" t="n">
        <f aca="false">(E77+0.5*G77)/H77</f>
        <v>0.461538461538462</v>
      </c>
      <c r="K77" s="15" t="n">
        <v>1167</v>
      </c>
      <c r="L77" s="16" t="n">
        <f aca="false">K77/H77</f>
        <v>89.7692307692308</v>
      </c>
      <c r="M77" s="12" t="n">
        <f aca="false">SUMPRODUCT(($A$2:$A$181=A77)*($K$2:$K$181&gt;K77))+1</f>
        <v>9</v>
      </c>
      <c r="N77" s="12" t="n">
        <v>7</v>
      </c>
      <c r="O77" s="12" t="n">
        <f aca="false">IF(N77&lt;=6,1,0)</f>
        <v>0</v>
      </c>
      <c r="P77" s="12" t="n">
        <f aca="false">IF(N77=1,1,0)</f>
        <v>0</v>
      </c>
      <c r="Q77" s="12" t="n">
        <f aca="false">IF(N77&lt;=2,1,0)</f>
        <v>0</v>
      </c>
      <c r="R77" s="12" t="n">
        <f aca="false">IF(N77&lt;=3,1,0)</f>
        <v>0</v>
      </c>
    </row>
    <row r="78" customFormat="false" ht="15" hidden="false" customHeight="false" outlineLevel="0" collapsed="false">
      <c r="A78" s="7" t="n">
        <v>2017</v>
      </c>
      <c r="B78" s="7" t="n">
        <v>5</v>
      </c>
      <c r="C78" s="8" t="s">
        <v>66</v>
      </c>
      <c r="D78" s="8" t="s">
        <v>67</v>
      </c>
      <c r="E78" s="7" t="n">
        <v>7</v>
      </c>
      <c r="F78" s="7" t="n">
        <v>6</v>
      </c>
      <c r="G78" s="7" t="n">
        <v>0</v>
      </c>
      <c r="H78" s="7" t="n">
        <v>13</v>
      </c>
      <c r="I78" s="8" t="str">
        <f aca="false">E78&amp;"-"&amp;F78&amp;"-"&amp;G78</f>
        <v>7-6-0</v>
      </c>
      <c r="J78" s="9" t="n">
        <f aca="false">(E78+0.5*G78)/H78</f>
        <v>0.538461538461538</v>
      </c>
      <c r="K78" s="10" t="n">
        <v>1286</v>
      </c>
      <c r="L78" s="11" t="n">
        <f aca="false">K78/H78</f>
        <v>98.9230769230769</v>
      </c>
      <c r="M78" s="7" t="n">
        <f aca="false">SUMPRODUCT(($A$2:$A$181=A78)*($K$2:$K$181&gt;K78))+1</f>
        <v>6</v>
      </c>
      <c r="N78" s="7" t="n">
        <v>1</v>
      </c>
      <c r="O78" s="7" t="n">
        <f aca="false">IF(N78&lt;=6,1,0)</f>
        <v>1</v>
      </c>
      <c r="P78" s="7" t="n">
        <f aca="false">IF(N78=1,1,0)</f>
        <v>1</v>
      </c>
      <c r="Q78" s="7" t="n">
        <f aca="false">IF(N78&lt;=2,1,0)</f>
        <v>1</v>
      </c>
      <c r="R78" s="7" t="n">
        <f aca="false">IF(N78&lt;=3,1,0)</f>
        <v>1</v>
      </c>
    </row>
    <row r="79" customFormat="false" ht="15" hidden="false" customHeight="false" outlineLevel="0" collapsed="false">
      <c r="A79" s="12" t="n">
        <v>2017</v>
      </c>
      <c r="B79" s="12" t="n">
        <v>6</v>
      </c>
      <c r="C79" s="13" t="s">
        <v>76</v>
      </c>
      <c r="D79" s="13" t="s">
        <v>77</v>
      </c>
      <c r="E79" s="12" t="n">
        <v>3</v>
      </c>
      <c r="F79" s="12" t="n">
        <v>10</v>
      </c>
      <c r="G79" s="12" t="n">
        <v>0</v>
      </c>
      <c r="H79" s="12" t="n">
        <v>13</v>
      </c>
      <c r="I79" s="13" t="str">
        <f aca="false">E79&amp;"-"&amp;F79&amp;"-"&amp;G79</f>
        <v>3-10-0</v>
      </c>
      <c r="J79" s="14" t="n">
        <f aca="false">(E79+0.5*G79)/H79</f>
        <v>0.230769230769231</v>
      </c>
      <c r="K79" s="15" t="n">
        <v>1067</v>
      </c>
      <c r="L79" s="16" t="n">
        <f aca="false">K79/H79</f>
        <v>82.0769230769231</v>
      </c>
      <c r="M79" s="12" t="n">
        <f aca="false">SUMPRODUCT(($A$2:$A$181=A79)*($K$2:$K$181&gt;K79))+1</f>
        <v>12</v>
      </c>
      <c r="N79" s="12" t="n">
        <v>9</v>
      </c>
      <c r="O79" s="12" t="n">
        <f aca="false">IF(N79&lt;=6,1,0)</f>
        <v>0</v>
      </c>
      <c r="P79" s="12" t="n">
        <f aca="false">IF(N79=1,1,0)</f>
        <v>0</v>
      </c>
      <c r="Q79" s="12" t="n">
        <f aca="false">IF(N79&lt;=2,1,0)</f>
        <v>0</v>
      </c>
      <c r="R79" s="12" t="n">
        <f aca="false">IF(N79&lt;=3,1,0)</f>
        <v>0</v>
      </c>
    </row>
    <row r="80" customFormat="false" ht="15" hidden="false" customHeight="false" outlineLevel="0" collapsed="false">
      <c r="A80" s="12" t="n">
        <v>2017</v>
      </c>
      <c r="B80" s="12" t="n">
        <v>7</v>
      </c>
      <c r="C80" s="13" t="s">
        <v>56</v>
      </c>
      <c r="D80" s="13" t="s">
        <v>57</v>
      </c>
      <c r="E80" s="12" t="n">
        <v>6</v>
      </c>
      <c r="F80" s="12" t="n">
        <v>7</v>
      </c>
      <c r="G80" s="12" t="n">
        <v>0</v>
      </c>
      <c r="H80" s="12" t="n">
        <v>13</v>
      </c>
      <c r="I80" s="13" t="str">
        <f aca="false">E80&amp;"-"&amp;F80&amp;"-"&amp;G80</f>
        <v>6-7-0</v>
      </c>
      <c r="J80" s="14" t="n">
        <f aca="false">(E80+0.5*G80)/H80</f>
        <v>0.461538461538462</v>
      </c>
      <c r="K80" s="15" t="n">
        <v>1221</v>
      </c>
      <c r="L80" s="16" t="n">
        <f aca="false">K80/H80</f>
        <v>93.9230769230769</v>
      </c>
      <c r="M80" s="12" t="n">
        <f aca="false">SUMPRODUCT(($A$2:$A$181=A80)*($K$2:$K$181&gt;K80))+1</f>
        <v>8</v>
      </c>
      <c r="N80" s="12" t="n">
        <v>8</v>
      </c>
      <c r="O80" s="12" t="n">
        <f aca="false">IF(N80&lt;=6,1,0)</f>
        <v>0</v>
      </c>
      <c r="P80" s="12" t="n">
        <f aca="false">IF(N80=1,1,0)</f>
        <v>0</v>
      </c>
      <c r="Q80" s="12" t="n">
        <f aca="false">IF(N80&lt;=2,1,0)</f>
        <v>0</v>
      </c>
      <c r="R80" s="12" t="n">
        <f aca="false">IF(N80&lt;=3,1,0)</f>
        <v>0</v>
      </c>
    </row>
    <row r="81" customFormat="false" ht="15" hidden="false" customHeight="false" outlineLevel="0" collapsed="false">
      <c r="A81" s="12" t="n">
        <v>2017</v>
      </c>
      <c r="B81" s="12" t="n">
        <v>8</v>
      </c>
      <c r="C81" s="13" t="s">
        <v>80</v>
      </c>
      <c r="D81" s="13" t="s">
        <v>81</v>
      </c>
      <c r="E81" s="12" t="n">
        <v>3</v>
      </c>
      <c r="F81" s="12" t="n">
        <v>10</v>
      </c>
      <c r="G81" s="12" t="n">
        <v>0</v>
      </c>
      <c r="H81" s="12" t="n">
        <v>13</v>
      </c>
      <c r="I81" s="13" t="str">
        <f aca="false">E81&amp;"-"&amp;F81&amp;"-"&amp;G81</f>
        <v>3-10-0</v>
      </c>
      <c r="J81" s="14" t="n">
        <f aca="false">(E81+0.5*G81)/H81</f>
        <v>0.230769230769231</v>
      </c>
      <c r="K81" s="15" t="n">
        <v>1086</v>
      </c>
      <c r="L81" s="16" t="n">
        <f aca="false">K81/H81</f>
        <v>83.5384615384615</v>
      </c>
      <c r="M81" s="12" t="n">
        <f aca="false">SUMPRODUCT(($A$2:$A$181=A81)*($K$2:$K$181&gt;K81))+1</f>
        <v>11</v>
      </c>
      <c r="N81" s="12" t="n">
        <v>12</v>
      </c>
      <c r="O81" s="12" t="n">
        <f aca="false">IF(N81&lt;=6,1,0)</f>
        <v>0</v>
      </c>
      <c r="P81" s="12" t="n">
        <f aca="false">IF(N81=1,1,0)</f>
        <v>0</v>
      </c>
      <c r="Q81" s="12" t="n">
        <f aca="false">IF(N81&lt;=2,1,0)</f>
        <v>0</v>
      </c>
      <c r="R81" s="12" t="n">
        <f aca="false">IF(N81&lt;=3,1,0)</f>
        <v>0</v>
      </c>
    </row>
    <row r="82" customFormat="false" ht="15" hidden="false" customHeight="false" outlineLevel="0" collapsed="false">
      <c r="A82" s="7" t="n">
        <v>2017</v>
      </c>
      <c r="B82" s="7" t="n">
        <v>9</v>
      </c>
      <c r="C82" s="8" t="s">
        <v>54</v>
      </c>
      <c r="D82" s="8" t="s">
        <v>55</v>
      </c>
      <c r="E82" s="7" t="n">
        <v>6</v>
      </c>
      <c r="F82" s="7" t="n">
        <v>7</v>
      </c>
      <c r="G82" s="7" t="n">
        <v>0</v>
      </c>
      <c r="H82" s="7" t="n">
        <v>13</v>
      </c>
      <c r="I82" s="8" t="str">
        <f aca="false">E82&amp;"-"&amp;F82&amp;"-"&amp;G82</f>
        <v>6-7-0</v>
      </c>
      <c r="J82" s="9" t="n">
        <f aca="false">(E82+0.5*G82)/H82</f>
        <v>0.461538461538462</v>
      </c>
      <c r="K82" s="10" t="n">
        <v>1224</v>
      </c>
      <c r="L82" s="11" t="n">
        <f aca="false">K82/H82</f>
        <v>94.1538461538462</v>
      </c>
      <c r="M82" s="7" t="n">
        <f aca="false">SUMPRODUCT(($A$2:$A$181=A82)*($K$2:$K$181&gt;K82))+1</f>
        <v>7</v>
      </c>
      <c r="N82" s="7" t="n">
        <v>6</v>
      </c>
      <c r="O82" s="7" t="n">
        <f aca="false">IF(N82&lt;=6,1,0)</f>
        <v>1</v>
      </c>
      <c r="P82" s="7" t="n">
        <f aca="false">IF(N82=1,1,0)</f>
        <v>0</v>
      </c>
      <c r="Q82" s="7" t="n">
        <f aca="false">IF(N82&lt;=2,1,0)</f>
        <v>0</v>
      </c>
      <c r="R82" s="7" t="n">
        <f aca="false">IF(N82&lt;=3,1,0)</f>
        <v>0</v>
      </c>
    </row>
    <row r="83" customFormat="false" ht="15" hidden="false" customHeight="false" outlineLevel="0" collapsed="false">
      <c r="A83" s="12" t="n">
        <v>2017</v>
      </c>
      <c r="B83" s="12" t="n">
        <v>10</v>
      </c>
      <c r="C83" s="13" t="s">
        <v>58</v>
      </c>
      <c r="D83" s="13" t="s">
        <v>59</v>
      </c>
      <c r="E83" s="12" t="n">
        <v>5</v>
      </c>
      <c r="F83" s="12" t="n">
        <v>8</v>
      </c>
      <c r="G83" s="12" t="n">
        <v>0</v>
      </c>
      <c r="H83" s="12" t="n">
        <v>13</v>
      </c>
      <c r="I83" s="13" t="str">
        <f aca="false">E83&amp;"-"&amp;F83&amp;"-"&amp;G83</f>
        <v>5-8-0</v>
      </c>
      <c r="J83" s="14" t="n">
        <f aca="false">(E83+0.5*G83)/H83</f>
        <v>0.384615384615385</v>
      </c>
      <c r="K83" s="15" t="n">
        <v>1157</v>
      </c>
      <c r="L83" s="16" t="n">
        <f aca="false">K83/H83</f>
        <v>89</v>
      </c>
      <c r="M83" s="12" t="n">
        <f aca="false">SUMPRODUCT(($A$2:$A$181=A83)*($K$2:$K$181&gt;K83))+1</f>
        <v>10</v>
      </c>
      <c r="N83" s="12" t="n">
        <v>11</v>
      </c>
      <c r="O83" s="12" t="n">
        <f aca="false">IF(N83&lt;=6,1,0)</f>
        <v>0</v>
      </c>
      <c r="P83" s="12" t="n">
        <f aca="false">IF(N83=1,1,0)</f>
        <v>0</v>
      </c>
      <c r="Q83" s="12" t="n">
        <f aca="false">IF(N83&lt;=2,1,0)</f>
        <v>0</v>
      </c>
      <c r="R83" s="12" t="n">
        <f aca="false">IF(N83&lt;=3,1,0)</f>
        <v>0</v>
      </c>
    </row>
    <row r="84" customFormat="false" ht="15" hidden="false" customHeight="false" outlineLevel="0" collapsed="false">
      <c r="A84" s="7" t="n">
        <v>2017</v>
      </c>
      <c r="B84" s="7" t="n">
        <v>11</v>
      </c>
      <c r="C84" s="8" t="s">
        <v>60</v>
      </c>
      <c r="D84" s="8" t="s">
        <v>61</v>
      </c>
      <c r="E84" s="7" t="n">
        <v>8</v>
      </c>
      <c r="F84" s="7" t="n">
        <v>5</v>
      </c>
      <c r="G84" s="7" t="n">
        <v>0</v>
      </c>
      <c r="H84" s="7" t="n">
        <v>13</v>
      </c>
      <c r="I84" s="8" t="str">
        <f aca="false">E84&amp;"-"&amp;F84&amp;"-"&amp;G84</f>
        <v>8-5-0</v>
      </c>
      <c r="J84" s="9" t="n">
        <f aca="false">(E84+0.5*G84)/H84</f>
        <v>0.615384615384615</v>
      </c>
      <c r="K84" s="10" t="n">
        <v>1323</v>
      </c>
      <c r="L84" s="11" t="n">
        <f aca="false">K84/H84</f>
        <v>101.769230769231</v>
      </c>
      <c r="M84" s="7" t="n">
        <f aca="false">SUMPRODUCT(($A$2:$A$181=A84)*($K$2:$K$181&gt;K84))+1</f>
        <v>4</v>
      </c>
      <c r="N84" s="7" t="n">
        <v>5</v>
      </c>
      <c r="O84" s="7" t="n">
        <f aca="false">IF(N84&lt;=6,1,0)</f>
        <v>1</v>
      </c>
      <c r="P84" s="7" t="n">
        <f aca="false">IF(N84=1,1,0)</f>
        <v>0</v>
      </c>
      <c r="Q84" s="7" t="n">
        <f aca="false">IF(N84&lt;=2,1,0)</f>
        <v>0</v>
      </c>
      <c r="R84" s="7" t="n">
        <f aca="false">IF(N84&lt;=3,1,0)</f>
        <v>0</v>
      </c>
    </row>
    <row r="85" customFormat="false" ht="15" hidden="false" customHeight="false" outlineLevel="0" collapsed="false">
      <c r="A85" s="7" t="n">
        <v>2017</v>
      </c>
      <c r="B85" s="7" t="n">
        <v>12</v>
      </c>
      <c r="C85" s="8" t="s">
        <v>62</v>
      </c>
      <c r="D85" s="8" t="s">
        <v>63</v>
      </c>
      <c r="E85" s="7" t="n">
        <v>8</v>
      </c>
      <c r="F85" s="7" t="n">
        <v>5</v>
      </c>
      <c r="G85" s="7" t="n">
        <v>0</v>
      </c>
      <c r="H85" s="7" t="n">
        <v>13</v>
      </c>
      <c r="I85" s="8" t="str">
        <f aca="false">E85&amp;"-"&amp;F85&amp;"-"&amp;G85</f>
        <v>8-5-0</v>
      </c>
      <c r="J85" s="9" t="n">
        <f aca="false">(E85+0.5*G85)/H85</f>
        <v>0.615384615384615</v>
      </c>
      <c r="K85" s="10" t="n">
        <v>1306</v>
      </c>
      <c r="L85" s="11" t="n">
        <f aca="false">K85/H85</f>
        <v>100.461538461538</v>
      </c>
      <c r="M85" s="7" t="n">
        <f aca="false">SUMPRODUCT(($A$2:$A$181=A85)*($K$2:$K$181&gt;K85))+1</f>
        <v>5</v>
      </c>
      <c r="N85" s="7" t="n">
        <v>3</v>
      </c>
      <c r="O85" s="7" t="n">
        <f aca="false">IF(N85&lt;=6,1,0)</f>
        <v>1</v>
      </c>
      <c r="P85" s="7" t="n">
        <f aca="false">IF(N85=1,1,0)</f>
        <v>0</v>
      </c>
      <c r="Q85" s="7" t="n">
        <f aca="false">IF(N85&lt;=2,1,0)</f>
        <v>0</v>
      </c>
      <c r="R85" s="7" t="n">
        <f aca="false">IF(N85&lt;=3,1,0)</f>
        <v>1</v>
      </c>
    </row>
    <row r="86" customFormat="false" ht="15" hidden="false" customHeight="false" outlineLevel="0" collapsed="false">
      <c r="A86" s="7" t="n">
        <v>2018</v>
      </c>
      <c r="B86" s="7" t="n">
        <v>1</v>
      </c>
      <c r="C86" s="8" t="s">
        <v>62</v>
      </c>
      <c r="D86" s="8" t="s">
        <v>63</v>
      </c>
      <c r="E86" s="7" t="n">
        <v>7</v>
      </c>
      <c r="F86" s="7" t="n">
        <v>6</v>
      </c>
      <c r="G86" s="7" t="n">
        <v>0</v>
      </c>
      <c r="H86" s="7" t="n">
        <v>13</v>
      </c>
      <c r="I86" s="8" t="str">
        <f aca="false">E86&amp;"-"&amp;F86&amp;"-"&amp;G86</f>
        <v>7-6-0</v>
      </c>
      <c r="J86" s="9" t="n">
        <f aca="false">(E86+0.5*G86)/H86</f>
        <v>0.538461538461538</v>
      </c>
      <c r="K86" s="10" t="n">
        <v>1570</v>
      </c>
      <c r="L86" s="11" t="n">
        <f aca="false">K86/H86</f>
        <v>120.769230769231</v>
      </c>
      <c r="M86" s="7" t="n">
        <f aca="false">SUMPRODUCT(($A$2:$A$181=A86)*($K$2:$K$181&gt;K86))+1</f>
        <v>2</v>
      </c>
      <c r="N86" s="7" t="n">
        <v>2</v>
      </c>
      <c r="O86" s="7" t="n">
        <f aca="false">IF(N86&lt;=6,1,0)</f>
        <v>1</v>
      </c>
      <c r="P86" s="7" t="n">
        <f aca="false">IF(N86=1,1,0)</f>
        <v>0</v>
      </c>
      <c r="Q86" s="7" t="n">
        <f aca="false">IF(N86&lt;=2,1,0)</f>
        <v>1</v>
      </c>
      <c r="R86" s="7" t="n">
        <f aca="false">IF(N86&lt;=3,1,0)</f>
        <v>1</v>
      </c>
    </row>
    <row r="87" customFormat="false" ht="15" hidden="false" customHeight="false" outlineLevel="0" collapsed="false">
      <c r="A87" s="12" t="n">
        <v>2018</v>
      </c>
      <c r="B87" s="12" t="n">
        <v>2</v>
      </c>
      <c r="C87" s="13" t="s">
        <v>56</v>
      </c>
      <c r="D87" s="13" t="s">
        <v>57</v>
      </c>
      <c r="E87" s="12" t="n">
        <v>3</v>
      </c>
      <c r="F87" s="12" t="n">
        <v>10</v>
      </c>
      <c r="G87" s="12" t="n">
        <v>0</v>
      </c>
      <c r="H87" s="12" t="n">
        <v>13</v>
      </c>
      <c r="I87" s="13" t="str">
        <f aca="false">E87&amp;"-"&amp;F87&amp;"-"&amp;G87</f>
        <v>3-10-0</v>
      </c>
      <c r="J87" s="14" t="n">
        <f aca="false">(E87+0.5*G87)/H87</f>
        <v>0.230769230769231</v>
      </c>
      <c r="K87" s="15" t="n">
        <v>1294</v>
      </c>
      <c r="L87" s="16" t="n">
        <f aca="false">K87/H87</f>
        <v>99.5384615384615</v>
      </c>
      <c r="M87" s="12" t="n">
        <f aca="false">SUMPRODUCT(($A$2:$A$181=A87)*($K$2:$K$181&gt;K87))+1</f>
        <v>10</v>
      </c>
      <c r="N87" s="12" t="n">
        <v>8</v>
      </c>
      <c r="O87" s="12" t="n">
        <f aca="false">IF(N87&lt;=6,1,0)</f>
        <v>0</v>
      </c>
      <c r="P87" s="12" t="n">
        <f aca="false">IF(N87=1,1,0)</f>
        <v>0</v>
      </c>
      <c r="Q87" s="12" t="n">
        <f aca="false">IF(N87&lt;=2,1,0)</f>
        <v>0</v>
      </c>
      <c r="R87" s="12" t="n">
        <f aca="false">IF(N87&lt;=3,1,0)</f>
        <v>0</v>
      </c>
    </row>
    <row r="88" customFormat="false" ht="15" hidden="false" customHeight="false" outlineLevel="0" collapsed="false">
      <c r="A88" s="7" t="n">
        <v>2018</v>
      </c>
      <c r="B88" s="7" t="n">
        <v>3</v>
      </c>
      <c r="C88" s="8" t="s">
        <v>54</v>
      </c>
      <c r="D88" s="8" t="s">
        <v>55</v>
      </c>
      <c r="E88" s="7" t="n">
        <v>9</v>
      </c>
      <c r="F88" s="7" t="n">
        <v>4</v>
      </c>
      <c r="G88" s="7" t="n">
        <v>0</v>
      </c>
      <c r="H88" s="7" t="n">
        <v>13</v>
      </c>
      <c r="I88" s="8" t="str">
        <f aca="false">E88&amp;"-"&amp;F88&amp;"-"&amp;G88</f>
        <v>9-4-0</v>
      </c>
      <c r="J88" s="9" t="n">
        <f aca="false">(E88+0.5*G88)/H88</f>
        <v>0.692307692307692</v>
      </c>
      <c r="K88" s="10" t="n">
        <v>1565</v>
      </c>
      <c r="L88" s="11" t="n">
        <f aca="false">K88/H88</f>
        <v>120.384615384615</v>
      </c>
      <c r="M88" s="7" t="n">
        <f aca="false">SUMPRODUCT(($A$2:$A$181=A88)*($K$2:$K$181&gt;K88))+1</f>
        <v>3</v>
      </c>
      <c r="N88" s="7" t="n">
        <v>6</v>
      </c>
      <c r="O88" s="7" t="n">
        <f aca="false">IF(N88&lt;=6,1,0)</f>
        <v>1</v>
      </c>
      <c r="P88" s="7" t="n">
        <f aca="false">IF(N88=1,1,0)</f>
        <v>0</v>
      </c>
      <c r="Q88" s="7" t="n">
        <f aca="false">IF(N88&lt;=2,1,0)</f>
        <v>0</v>
      </c>
      <c r="R88" s="7" t="n">
        <f aca="false">IF(N88&lt;=3,1,0)</f>
        <v>0</v>
      </c>
    </row>
    <row r="89" customFormat="false" ht="15" hidden="false" customHeight="false" outlineLevel="0" collapsed="false">
      <c r="A89" s="7" t="n">
        <v>2018</v>
      </c>
      <c r="B89" s="7" t="n">
        <v>4</v>
      </c>
      <c r="C89" s="8" t="s">
        <v>83</v>
      </c>
      <c r="D89" s="8" t="s">
        <v>69</v>
      </c>
      <c r="E89" s="7" t="n">
        <v>8</v>
      </c>
      <c r="F89" s="7" t="n">
        <v>5</v>
      </c>
      <c r="G89" s="7" t="n">
        <v>0</v>
      </c>
      <c r="H89" s="7" t="n">
        <v>13</v>
      </c>
      <c r="I89" s="8" t="str">
        <f aca="false">E89&amp;"-"&amp;F89&amp;"-"&amp;G89</f>
        <v>8-5-0</v>
      </c>
      <c r="J89" s="9" t="n">
        <f aca="false">(E89+0.5*G89)/H89</f>
        <v>0.615384615384615</v>
      </c>
      <c r="K89" s="10" t="n">
        <v>1651</v>
      </c>
      <c r="L89" s="11" t="n">
        <f aca="false">K89/H89</f>
        <v>127</v>
      </c>
      <c r="M89" s="7" t="n">
        <f aca="false">SUMPRODUCT(($A$2:$A$181=A89)*($K$2:$K$181&gt;K89))+1</f>
        <v>1</v>
      </c>
      <c r="N89" s="7" t="n">
        <v>5</v>
      </c>
      <c r="O89" s="7" t="n">
        <f aca="false">IF(N89&lt;=6,1,0)</f>
        <v>1</v>
      </c>
      <c r="P89" s="7" t="n">
        <f aca="false">IF(N89=1,1,0)</f>
        <v>0</v>
      </c>
      <c r="Q89" s="7" t="n">
        <f aca="false">IF(N89&lt;=2,1,0)</f>
        <v>0</v>
      </c>
      <c r="R89" s="7" t="n">
        <f aca="false">IF(N89&lt;=3,1,0)</f>
        <v>0</v>
      </c>
    </row>
    <row r="90" customFormat="false" ht="15" hidden="false" customHeight="false" outlineLevel="0" collapsed="false">
      <c r="A90" s="12" t="n">
        <v>2018</v>
      </c>
      <c r="B90" s="12" t="n">
        <v>5</v>
      </c>
      <c r="C90" s="13" t="s">
        <v>58</v>
      </c>
      <c r="D90" s="13" t="s">
        <v>59</v>
      </c>
      <c r="E90" s="12" t="n">
        <v>3</v>
      </c>
      <c r="F90" s="12" t="n">
        <v>10</v>
      </c>
      <c r="G90" s="12" t="n">
        <v>0</v>
      </c>
      <c r="H90" s="12" t="n">
        <v>13</v>
      </c>
      <c r="I90" s="13" t="str">
        <f aca="false">E90&amp;"-"&amp;F90&amp;"-"&amp;G90</f>
        <v>3-10-0</v>
      </c>
      <c r="J90" s="14" t="n">
        <f aca="false">(E90+0.5*G90)/H90</f>
        <v>0.230769230769231</v>
      </c>
      <c r="K90" s="15" t="n">
        <v>1142</v>
      </c>
      <c r="L90" s="16" t="n">
        <f aca="false">K90/H90</f>
        <v>87.8461538461538</v>
      </c>
      <c r="M90" s="12" t="n">
        <f aca="false">SUMPRODUCT(($A$2:$A$181=A90)*($K$2:$K$181&gt;K90))+1</f>
        <v>12</v>
      </c>
      <c r="N90" s="12" t="n">
        <v>11</v>
      </c>
      <c r="O90" s="12" t="n">
        <f aca="false">IF(N90&lt;=6,1,0)</f>
        <v>0</v>
      </c>
      <c r="P90" s="12" t="n">
        <f aca="false">IF(N90=1,1,0)</f>
        <v>0</v>
      </c>
      <c r="Q90" s="12" t="n">
        <f aca="false">IF(N90&lt;=2,1,0)</f>
        <v>0</v>
      </c>
      <c r="R90" s="12" t="n">
        <f aca="false">IF(N90&lt;=3,1,0)</f>
        <v>0</v>
      </c>
    </row>
    <row r="91" customFormat="false" ht="15" hidden="false" customHeight="false" outlineLevel="0" collapsed="false">
      <c r="A91" s="12" t="n">
        <v>2018</v>
      </c>
      <c r="B91" s="12" t="n">
        <v>6</v>
      </c>
      <c r="C91" s="13" t="s">
        <v>76</v>
      </c>
      <c r="D91" s="13" t="s">
        <v>77</v>
      </c>
      <c r="E91" s="12" t="n">
        <v>5</v>
      </c>
      <c r="F91" s="12" t="n">
        <v>8</v>
      </c>
      <c r="G91" s="12" t="n">
        <v>0</v>
      </c>
      <c r="H91" s="12" t="n">
        <v>13</v>
      </c>
      <c r="I91" s="13" t="str">
        <f aca="false">E91&amp;"-"&amp;F91&amp;"-"&amp;G91</f>
        <v>5-8-0</v>
      </c>
      <c r="J91" s="14" t="n">
        <f aca="false">(E91+0.5*G91)/H91</f>
        <v>0.384615384615385</v>
      </c>
      <c r="K91" s="15" t="n">
        <v>1331</v>
      </c>
      <c r="L91" s="16" t="n">
        <f aca="false">K91/H91</f>
        <v>102.384615384615</v>
      </c>
      <c r="M91" s="12" t="n">
        <f aca="false">SUMPRODUCT(($A$2:$A$181=A91)*($K$2:$K$181&gt;K91))+1</f>
        <v>9</v>
      </c>
      <c r="N91" s="12" t="n">
        <v>7</v>
      </c>
      <c r="O91" s="12" t="n">
        <f aca="false">IF(N91&lt;=6,1,0)</f>
        <v>0</v>
      </c>
      <c r="P91" s="12" t="n">
        <f aca="false">IF(N91=1,1,0)</f>
        <v>0</v>
      </c>
      <c r="Q91" s="12" t="n">
        <f aca="false">IF(N91&lt;=2,1,0)</f>
        <v>0</v>
      </c>
      <c r="R91" s="12" t="n">
        <f aca="false">IF(N91&lt;=3,1,0)</f>
        <v>0</v>
      </c>
    </row>
    <row r="92" customFormat="false" ht="15" hidden="false" customHeight="false" outlineLevel="0" collapsed="false">
      <c r="A92" s="12" t="n">
        <v>2018</v>
      </c>
      <c r="B92" s="12" t="n">
        <v>7</v>
      </c>
      <c r="C92" s="13" t="s">
        <v>84</v>
      </c>
      <c r="D92" s="13" t="s">
        <v>85</v>
      </c>
      <c r="E92" s="12" t="n">
        <v>4</v>
      </c>
      <c r="F92" s="12" t="n">
        <v>9</v>
      </c>
      <c r="G92" s="12" t="n">
        <v>0</v>
      </c>
      <c r="H92" s="12" t="n">
        <v>13</v>
      </c>
      <c r="I92" s="13" t="str">
        <f aca="false">E92&amp;"-"&amp;F92&amp;"-"&amp;G92</f>
        <v>4-9-0</v>
      </c>
      <c r="J92" s="14" t="n">
        <f aca="false">(E92+0.5*G92)/H92</f>
        <v>0.307692307692308</v>
      </c>
      <c r="K92" s="15" t="n">
        <v>1380</v>
      </c>
      <c r="L92" s="16" t="n">
        <f aca="false">K92/H92</f>
        <v>106.153846153846</v>
      </c>
      <c r="M92" s="12" t="n">
        <f aca="false">SUMPRODUCT(($A$2:$A$181=A92)*($K$2:$K$181&gt;K92))+1</f>
        <v>7</v>
      </c>
      <c r="N92" s="12" t="n">
        <v>9</v>
      </c>
      <c r="O92" s="12" t="n">
        <f aca="false">IF(N92&lt;=6,1,0)</f>
        <v>0</v>
      </c>
      <c r="P92" s="12" t="n">
        <f aca="false">IF(N92=1,1,0)</f>
        <v>0</v>
      </c>
      <c r="Q92" s="12" t="n">
        <f aca="false">IF(N92&lt;=2,1,0)</f>
        <v>0</v>
      </c>
      <c r="R92" s="12" t="n">
        <f aca="false">IF(N92&lt;=3,1,0)</f>
        <v>0</v>
      </c>
    </row>
    <row r="93" customFormat="false" ht="15" hidden="false" customHeight="false" outlineLevel="0" collapsed="false">
      <c r="A93" s="7" t="n">
        <v>2018</v>
      </c>
      <c r="B93" s="7" t="n">
        <v>8</v>
      </c>
      <c r="C93" s="8" t="s">
        <v>66</v>
      </c>
      <c r="D93" s="8" t="s">
        <v>67</v>
      </c>
      <c r="E93" s="7" t="n">
        <v>10</v>
      </c>
      <c r="F93" s="7" t="n">
        <v>3</v>
      </c>
      <c r="G93" s="7" t="n">
        <v>0</v>
      </c>
      <c r="H93" s="7" t="n">
        <v>13</v>
      </c>
      <c r="I93" s="8" t="str">
        <f aca="false">E93&amp;"-"&amp;F93&amp;"-"&amp;G93</f>
        <v>10-3-0</v>
      </c>
      <c r="J93" s="9" t="n">
        <f aca="false">(E93+0.5*G93)/H93</f>
        <v>0.769230769230769</v>
      </c>
      <c r="K93" s="10" t="n">
        <v>1500</v>
      </c>
      <c r="L93" s="11" t="n">
        <f aca="false">K93/H93</f>
        <v>115.384615384615</v>
      </c>
      <c r="M93" s="7" t="n">
        <f aca="false">SUMPRODUCT(($A$2:$A$181=A93)*($K$2:$K$181&gt;K93))+1</f>
        <v>5</v>
      </c>
      <c r="N93" s="7" t="n">
        <v>1</v>
      </c>
      <c r="O93" s="7" t="n">
        <f aca="false">IF(N93&lt;=6,1,0)</f>
        <v>1</v>
      </c>
      <c r="P93" s="7" t="n">
        <f aca="false">IF(N93=1,1,0)</f>
        <v>1</v>
      </c>
      <c r="Q93" s="7" t="n">
        <f aca="false">IF(N93&lt;=2,1,0)</f>
        <v>1</v>
      </c>
      <c r="R93" s="7" t="n">
        <f aca="false">IF(N93&lt;=3,1,0)</f>
        <v>1</v>
      </c>
    </row>
    <row r="94" customFormat="false" ht="15" hidden="false" customHeight="false" outlineLevel="0" collapsed="false">
      <c r="A94" s="7" t="n">
        <v>2018</v>
      </c>
      <c r="B94" s="7" t="n">
        <v>9</v>
      </c>
      <c r="C94" s="8" t="s">
        <v>86</v>
      </c>
      <c r="D94" s="8" t="s">
        <v>61</v>
      </c>
      <c r="E94" s="7" t="n">
        <v>9</v>
      </c>
      <c r="F94" s="7" t="n">
        <v>4</v>
      </c>
      <c r="G94" s="7" t="n">
        <v>0</v>
      </c>
      <c r="H94" s="7" t="n">
        <v>13</v>
      </c>
      <c r="I94" s="8" t="str">
        <f aca="false">E94&amp;"-"&amp;F94&amp;"-"&amp;G94</f>
        <v>9-4-0</v>
      </c>
      <c r="J94" s="9" t="n">
        <f aca="false">(E94+0.5*G94)/H94</f>
        <v>0.692307692307692</v>
      </c>
      <c r="K94" s="10" t="n">
        <v>1389</v>
      </c>
      <c r="L94" s="11" t="n">
        <f aca="false">K94/H94</f>
        <v>106.846153846154</v>
      </c>
      <c r="M94" s="7" t="n">
        <f aca="false">SUMPRODUCT(($A$2:$A$181=A94)*($K$2:$K$181&gt;K94))+1</f>
        <v>6</v>
      </c>
      <c r="N94" s="7" t="n">
        <v>4</v>
      </c>
      <c r="O94" s="7" t="n">
        <f aca="false">IF(N94&lt;=6,1,0)</f>
        <v>1</v>
      </c>
      <c r="P94" s="7" t="n">
        <f aca="false">IF(N94=1,1,0)</f>
        <v>0</v>
      </c>
      <c r="Q94" s="7" t="n">
        <f aca="false">IF(N94&lt;=2,1,0)</f>
        <v>0</v>
      </c>
      <c r="R94" s="7" t="n">
        <f aca="false">IF(N94&lt;=3,1,0)</f>
        <v>0</v>
      </c>
    </row>
    <row r="95" customFormat="false" ht="15" hidden="false" customHeight="false" outlineLevel="0" collapsed="false">
      <c r="A95" s="12" t="n">
        <v>2018</v>
      </c>
      <c r="B95" s="12" t="n">
        <v>10</v>
      </c>
      <c r="C95" s="13" t="s">
        <v>64</v>
      </c>
      <c r="D95" s="13" t="s">
        <v>65</v>
      </c>
      <c r="E95" s="12" t="n">
        <v>4</v>
      </c>
      <c r="F95" s="12" t="n">
        <v>9</v>
      </c>
      <c r="G95" s="12" t="n">
        <v>0</v>
      </c>
      <c r="H95" s="12" t="n">
        <v>13</v>
      </c>
      <c r="I95" s="13" t="str">
        <f aca="false">E95&amp;"-"&amp;F95&amp;"-"&amp;G95</f>
        <v>4-9-0</v>
      </c>
      <c r="J95" s="14" t="n">
        <f aca="false">(E95+0.5*G95)/H95</f>
        <v>0.307692307692308</v>
      </c>
      <c r="K95" s="15" t="n">
        <v>1202</v>
      </c>
      <c r="L95" s="16" t="n">
        <f aca="false">K95/H95</f>
        <v>92.4615384615385</v>
      </c>
      <c r="M95" s="12" t="n">
        <f aca="false">SUMPRODUCT(($A$2:$A$181=A95)*($K$2:$K$181&gt;K95))+1</f>
        <v>11</v>
      </c>
      <c r="N95" s="12" t="n">
        <v>12</v>
      </c>
      <c r="O95" s="12" t="n">
        <f aca="false">IF(N95&lt;=6,1,0)</f>
        <v>0</v>
      </c>
      <c r="P95" s="12" t="n">
        <f aca="false">IF(N95=1,1,0)</f>
        <v>0</v>
      </c>
      <c r="Q95" s="12" t="n">
        <f aca="false">IF(N95&lt;=2,1,0)</f>
        <v>0</v>
      </c>
      <c r="R95" s="12" t="n">
        <f aca="false">IF(N95&lt;=3,1,0)</f>
        <v>0</v>
      </c>
    </row>
    <row r="96" customFormat="false" ht="15" hidden="false" customHeight="false" outlineLevel="0" collapsed="false">
      <c r="A96" s="12" t="n">
        <v>2018</v>
      </c>
      <c r="B96" s="12" t="n">
        <v>11</v>
      </c>
      <c r="C96" s="13" t="s">
        <v>72</v>
      </c>
      <c r="D96" s="13" t="s">
        <v>73</v>
      </c>
      <c r="E96" s="12" t="n">
        <v>6</v>
      </c>
      <c r="F96" s="12" t="n">
        <v>7</v>
      </c>
      <c r="G96" s="12" t="n">
        <v>0</v>
      </c>
      <c r="H96" s="12" t="n">
        <v>13</v>
      </c>
      <c r="I96" s="13" t="str">
        <f aca="false">E96&amp;"-"&amp;F96&amp;"-"&amp;G96</f>
        <v>6-7-0</v>
      </c>
      <c r="J96" s="14" t="n">
        <f aca="false">(E96+0.5*G96)/H96</f>
        <v>0.461538461538462</v>
      </c>
      <c r="K96" s="15" t="n">
        <v>1376</v>
      </c>
      <c r="L96" s="16" t="n">
        <f aca="false">K96/H96</f>
        <v>105.846153846154</v>
      </c>
      <c r="M96" s="12" t="n">
        <f aca="false">SUMPRODUCT(($A$2:$A$181=A96)*($K$2:$K$181&gt;K96))+1</f>
        <v>8</v>
      </c>
      <c r="N96" s="12" t="n">
        <v>10</v>
      </c>
      <c r="O96" s="12" t="n">
        <f aca="false">IF(N96&lt;=6,1,0)</f>
        <v>0</v>
      </c>
      <c r="P96" s="12" t="n">
        <f aca="false">IF(N96=1,1,0)</f>
        <v>0</v>
      </c>
      <c r="Q96" s="12" t="n">
        <f aca="false">IF(N96&lt;=2,1,0)</f>
        <v>0</v>
      </c>
      <c r="R96" s="12" t="n">
        <f aca="false">IF(N96&lt;=3,1,0)</f>
        <v>0</v>
      </c>
    </row>
    <row r="97" customFormat="false" ht="15" hidden="false" customHeight="false" outlineLevel="0" collapsed="false">
      <c r="A97" s="7" t="n">
        <v>2018</v>
      </c>
      <c r="B97" s="7" t="n">
        <v>12</v>
      </c>
      <c r="C97" s="8" t="s">
        <v>70</v>
      </c>
      <c r="D97" s="8" t="s">
        <v>71</v>
      </c>
      <c r="E97" s="7" t="n">
        <v>10</v>
      </c>
      <c r="F97" s="7" t="n">
        <v>3</v>
      </c>
      <c r="G97" s="7" t="n">
        <v>0</v>
      </c>
      <c r="H97" s="7" t="n">
        <v>13</v>
      </c>
      <c r="I97" s="8" t="str">
        <f aca="false">E97&amp;"-"&amp;F97&amp;"-"&amp;G97</f>
        <v>10-3-0</v>
      </c>
      <c r="J97" s="9" t="n">
        <f aca="false">(E97+0.5*G97)/H97</f>
        <v>0.769230769230769</v>
      </c>
      <c r="K97" s="10" t="n">
        <v>1516</v>
      </c>
      <c r="L97" s="11" t="n">
        <f aca="false">K97/H97</f>
        <v>116.615384615385</v>
      </c>
      <c r="M97" s="7" t="n">
        <f aca="false">SUMPRODUCT(($A$2:$A$181=A97)*($K$2:$K$181&gt;K97))+1</f>
        <v>4</v>
      </c>
      <c r="N97" s="7" t="n">
        <v>3</v>
      </c>
      <c r="O97" s="7" t="n">
        <f aca="false">IF(N97&lt;=6,1,0)</f>
        <v>1</v>
      </c>
      <c r="P97" s="7" t="n">
        <f aca="false">IF(N97=1,1,0)</f>
        <v>0</v>
      </c>
      <c r="Q97" s="7" t="n">
        <f aca="false">IF(N97&lt;=2,1,0)</f>
        <v>0</v>
      </c>
      <c r="R97" s="7" t="n">
        <f aca="false">IF(N97&lt;=3,1,0)</f>
        <v>1</v>
      </c>
    </row>
    <row r="98" customFormat="false" ht="15" hidden="false" customHeight="false" outlineLevel="0" collapsed="false">
      <c r="A98" s="12" t="n">
        <v>2019</v>
      </c>
      <c r="B98" s="12" t="n">
        <v>1</v>
      </c>
      <c r="C98" s="13" t="s">
        <v>64</v>
      </c>
      <c r="D98" s="13" t="s">
        <v>65</v>
      </c>
      <c r="E98" s="12" t="n">
        <v>4</v>
      </c>
      <c r="F98" s="12" t="n">
        <v>9</v>
      </c>
      <c r="G98" s="12" t="n">
        <v>0</v>
      </c>
      <c r="H98" s="12" t="n">
        <v>13</v>
      </c>
      <c r="I98" s="13" t="str">
        <f aca="false">E98&amp;"-"&amp;F98&amp;"-"&amp;G98</f>
        <v>4-9-0</v>
      </c>
      <c r="J98" s="14" t="n">
        <f aca="false">(E98+0.5*G98)/H98</f>
        <v>0.307692307692308</v>
      </c>
      <c r="K98" s="15" t="n">
        <v>1066.54</v>
      </c>
      <c r="L98" s="16" t="n">
        <f aca="false">K98/H98</f>
        <v>82.0415384615385</v>
      </c>
      <c r="M98" s="12" t="n">
        <f aca="false">SUMPRODUCT(($A$2:$A$181=A98)*($K$2:$K$181&gt;K98))+1</f>
        <v>12</v>
      </c>
      <c r="N98" s="12" t="n">
        <v>7</v>
      </c>
      <c r="O98" s="12" t="n">
        <f aca="false">IF(N98&lt;=6,1,0)</f>
        <v>0</v>
      </c>
      <c r="P98" s="12" t="n">
        <f aca="false">IF(N98=1,1,0)</f>
        <v>0</v>
      </c>
      <c r="Q98" s="12" t="n">
        <f aca="false">IF(N98&lt;=2,1,0)</f>
        <v>0</v>
      </c>
      <c r="R98" s="12" t="n">
        <f aca="false">IF(N98&lt;=3,1,0)</f>
        <v>0</v>
      </c>
    </row>
    <row r="99" customFormat="false" ht="15" hidden="false" customHeight="false" outlineLevel="0" collapsed="false">
      <c r="A99" s="12" t="n">
        <v>2019</v>
      </c>
      <c r="B99" s="12" t="n">
        <v>2</v>
      </c>
      <c r="C99" s="13" t="s">
        <v>62</v>
      </c>
      <c r="D99" s="13" t="s">
        <v>63</v>
      </c>
      <c r="E99" s="12" t="n">
        <v>6</v>
      </c>
      <c r="F99" s="12" t="n">
        <v>7</v>
      </c>
      <c r="G99" s="12" t="n">
        <v>0</v>
      </c>
      <c r="H99" s="12" t="n">
        <v>13</v>
      </c>
      <c r="I99" s="13" t="str">
        <f aca="false">E99&amp;"-"&amp;F99&amp;"-"&amp;G99</f>
        <v>6-7-0</v>
      </c>
      <c r="J99" s="14" t="n">
        <f aca="false">(E99+0.5*G99)/H99</f>
        <v>0.461538461538462</v>
      </c>
      <c r="K99" s="15" t="n">
        <v>1222.48</v>
      </c>
      <c r="L99" s="16" t="n">
        <f aca="false">K99/H99</f>
        <v>94.0369230769231</v>
      </c>
      <c r="M99" s="12" t="n">
        <f aca="false">SUMPRODUCT(($A$2:$A$181=A99)*($K$2:$K$181&gt;K99))+1</f>
        <v>9</v>
      </c>
      <c r="N99" s="12" t="n">
        <v>11</v>
      </c>
      <c r="O99" s="12" t="n">
        <f aca="false">IF(N99&lt;=6,1,0)</f>
        <v>0</v>
      </c>
      <c r="P99" s="12" t="n">
        <f aca="false">IF(N99=1,1,0)</f>
        <v>0</v>
      </c>
      <c r="Q99" s="12" t="n">
        <f aca="false">IF(N99&lt;=2,1,0)</f>
        <v>0</v>
      </c>
      <c r="R99" s="12" t="n">
        <f aca="false">IF(N99&lt;=3,1,0)</f>
        <v>0</v>
      </c>
    </row>
    <row r="100" customFormat="false" ht="15" hidden="false" customHeight="false" outlineLevel="0" collapsed="false">
      <c r="A100" s="7" t="n">
        <v>2019</v>
      </c>
      <c r="B100" s="7" t="n">
        <v>3</v>
      </c>
      <c r="C100" s="8" t="s">
        <v>70</v>
      </c>
      <c r="D100" s="8" t="s">
        <v>71</v>
      </c>
      <c r="E100" s="7" t="n">
        <v>8</v>
      </c>
      <c r="F100" s="7" t="n">
        <v>5</v>
      </c>
      <c r="G100" s="7" t="n">
        <v>0</v>
      </c>
      <c r="H100" s="7" t="n">
        <v>13</v>
      </c>
      <c r="I100" s="8" t="str">
        <f aca="false">E100&amp;"-"&amp;F100&amp;"-"&amp;G100</f>
        <v>8-5-0</v>
      </c>
      <c r="J100" s="9" t="n">
        <f aca="false">(E100+0.5*G100)/H100</f>
        <v>0.615384615384615</v>
      </c>
      <c r="K100" s="10" t="n">
        <v>1334.64</v>
      </c>
      <c r="L100" s="11" t="n">
        <f aca="false">K100/H100</f>
        <v>102.664615384615</v>
      </c>
      <c r="M100" s="7" t="n">
        <f aca="false">SUMPRODUCT(($A$2:$A$181=A100)*($K$2:$K$181&gt;K100))+1</f>
        <v>4</v>
      </c>
      <c r="N100" s="7" t="n">
        <v>6</v>
      </c>
      <c r="O100" s="7" t="n">
        <f aca="false">IF(N100&lt;=6,1,0)</f>
        <v>1</v>
      </c>
      <c r="P100" s="7" t="n">
        <f aca="false">IF(N100=1,1,0)</f>
        <v>0</v>
      </c>
      <c r="Q100" s="7" t="n">
        <f aca="false">IF(N100&lt;=2,1,0)</f>
        <v>0</v>
      </c>
      <c r="R100" s="7" t="n">
        <f aca="false">IF(N100&lt;=3,1,0)</f>
        <v>0</v>
      </c>
    </row>
    <row r="101" customFormat="false" ht="15" hidden="false" customHeight="false" outlineLevel="0" collapsed="false">
      <c r="A101" s="7" t="n">
        <v>2019</v>
      </c>
      <c r="B101" s="7" t="n">
        <v>4</v>
      </c>
      <c r="C101" s="8" t="s">
        <v>72</v>
      </c>
      <c r="D101" s="8" t="s">
        <v>73</v>
      </c>
      <c r="E101" s="7" t="n">
        <v>7</v>
      </c>
      <c r="F101" s="7" t="n">
        <v>6</v>
      </c>
      <c r="G101" s="7" t="n">
        <v>0</v>
      </c>
      <c r="H101" s="7" t="n">
        <v>13</v>
      </c>
      <c r="I101" s="8" t="str">
        <f aca="false">E101&amp;"-"&amp;F101&amp;"-"&amp;G101</f>
        <v>7-6-0</v>
      </c>
      <c r="J101" s="9" t="n">
        <f aca="false">(E101+0.5*G101)/H101</f>
        <v>0.538461538461538</v>
      </c>
      <c r="K101" s="10" t="n">
        <v>1473.5</v>
      </c>
      <c r="L101" s="11" t="n">
        <f aca="false">K101/H101</f>
        <v>113.346153846154</v>
      </c>
      <c r="M101" s="7" t="n">
        <f aca="false">SUMPRODUCT(($A$2:$A$181=A101)*($K$2:$K$181&gt;K101))+1</f>
        <v>1</v>
      </c>
      <c r="N101" s="7" t="n">
        <v>5</v>
      </c>
      <c r="O101" s="7" t="n">
        <f aca="false">IF(N101&lt;=6,1,0)</f>
        <v>1</v>
      </c>
      <c r="P101" s="7" t="n">
        <f aca="false">IF(N101=1,1,0)</f>
        <v>0</v>
      </c>
      <c r="Q101" s="7" t="n">
        <f aca="false">IF(N101&lt;=2,1,0)</f>
        <v>0</v>
      </c>
      <c r="R101" s="7" t="n">
        <f aca="false">IF(N101&lt;=3,1,0)</f>
        <v>0</v>
      </c>
    </row>
    <row r="102" customFormat="false" ht="15" hidden="false" customHeight="false" outlineLevel="0" collapsed="false">
      <c r="A102" s="7" t="n">
        <v>2019</v>
      </c>
      <c r="B102" s="7" t="n">
        <v>5</v>
      </c>
      <c r="C102" s="8" t="s">
        <v>87</v>
      </c>
      <c r="D102" s="8" t="s">
        <v>85</v>
      </c>
      <c r="E102" s="7" t="n">
        <v>7</v>
      </c>
      <c r="F102" s="7" t="n">
        <v>6</v>
      </c>
      <c r="G102" s="7" t="n">
        <v>0</v>
      </c>
      <c r="H102" s="7" t="n">
        <v>13</v>
      </c>
      <c r="I102" s="8" t="str">
        <f aca="false">E102&amp;"-"&amp;F102&amp;"-"&amp;G102</f>
        <v>7-6-0</v>
      </c>
      <c r="J102" s="9" t="n">
        <f aca="false">(E102+0.5*G102)/H102</f>
        <v>0.538461538461538</v>
      </c>
      <c r="K102" s="10" t="n">
        <v>1213.34</v>
      </c>
      <c r="L102" s="11" t="n">
        <f aca="false">K102/H102</f>
        <v>93.3338461538462</v>
      </c>
      <c r="M102" s="7" t="n">
        <f aca="false">SUMPRODUCT(($A$2:$A$181=A102)*($K$2:$K$181&gt;K102))+1</f>
        <v>10</v>
      </c>
      <c r="N102" s="7" t="n">
        <v>4</v>
      </c>
      <c r="O102" s="7" t="n">
        <f aca="false">IF(N102&lt;=6,1,0)</f>
        <v>1</v>
      </c>
      <c r="P102" s="7" t="n">
        <f aca="false">IF(N102=1,1,0)</f>
        <v>0</v>
      </c>
      <c r="Q102" s="7" t="n">
        <f aca="false">IF(N102&lt;=2,1,0)</f>
        <v>0</v>
      </c>
      <c r="R102" s="7" t="n">
        <f aca="false">IF(N102&lt;=3,1,0)</f>
        <v>0</v>
      </c>
    </row>
    <row r="103" customFormat="false" ht="15" hidden="false" customHeight="false" outlineLevel="0" collapsed="false">
      <c r="A103" s="12" t="n">
        <v>2019</v>
      </c>
      <c r="B103" s="12" t="n">
        <v>6</v>
      </c>
      <c r="C103" s="13" t="s">
        <v>83</v>
      </c>
      <c r="D103" s="13" t="s">
        <v>69</v>
      </c>
      <c r="E103" s="12" t="n">
        <v>6</v>
      </c>
      <c r="F103" s="12" t="n">
        <v>7</v>
      </c>
      <c r="G103" s="12" t="n">
        <v>0</v>
      </c>
      <c r="H103" s="12" t="n">
        <v>13</v>
      </c>
      <c r="I103" s="13" t="str">
        <f aca="false">E103&amp;"-"&amp;F103&amp;"-"&amp;G103</f>
        <v>6-7-0</v>
      </c>
      <c r="J103" s="14" t="n">
        <f aca="false">(E103+0.5*G103)/H103</f>
        <v>0.461538461538462</v>
      </c>
      <c r="K103" s="15" t="n">
        <v>1260.92</v>
      </c>
      <c r="L103" s="16" t="n">
        <f aca="false">K103/H103</f>
        <v>96.9938461538462</v>
      </c>
      <c r="M103" s="12" t="n">
        <f aca="false">SUMPRODUCT(($A$2:$A$181=A103)*($K$2:$K$181&gt;K103))+1</f>
        <v>6</v>
      </c>
      <c r="N103" s="12" t="n">
        <v>9</v>
      </c>
      <c r="O103" s="12" t="n">
        <f aca="false">IF(N103&lt;=6,1,0)</f>
        <v>0</v>
      </c>
      <c r="P103" s="12" t="n">
        <f aca="false">IF(N103=1,1,0)</f>
        <v>0</v>
      </c>
      <c r="Q103" s="12" t="n">
        <f aca="false">IF(N103&lt;=2,1,0)</f>
        <v>0</v>
      </c>
      <c r="R103" s="12" t="n">
        <f aca="false">IF(N103&lt;=3,1,0)</f>
        <v>0</v>
      </c>
    </row>
    <row r="104" customFormat="false" ht="15" hidden="false" customHeight="false" outlineLevel="0" collapsed="false">
      <c r="A104" s="12" t="n">
        <v>2019</v>
      </c>
      <c r="B104" s="12" t="n">
        <v>7</v>
      </c>
      <c r="C104" s="13" t="s">
        <v>88</v>
      </c>
      <c r="D104" s="13" t="s">
        <v>61</v>
      </c>
      <c r="E104" s="12" t="n">
        <v>4</v>
      </c>
      <c r="F104" s="12" t="n">
        <v>9</v>
      </c>
      <c r="G104" s="12" t="n">
        <v>0</v>
      </c>
      <c r="H104" s="12" t="n">
        <v>13</v>
      </c>
      <c r="I104" s="13" t="str">
        <f aca="false">E104&amp;"-"&amp;F104&amp;"-"&amp;G104</f>
        <v>4-9-0</v>
      </c>
      <c r="J104" s="14" t="n">
        <f aca="false">(E104+0.5*G104)/H104</f>
        <v>0.307692307692308</v>
      </c>
      <c r="K104" s="15" t="n">
        <v>1234.78</v>
      </c>
      <c r="L104" s="16" t="n">
        <f aca="false">K104/H104</f>
        <v>94.9830769230769</v>
      </c>
      <c r="M104" s="12" t="n">
        <f aca="false">SUMPRODUCT(($A$2:$A$181=A104)*($K$2:$K$181&gt;K104))+1</f>
        <v>8</v>
      </c>
      <c r="N104" s="12" t="n">
        <v>8</v>
      </c>
      <c r="O104" s="12" t="n">
        <f aca="false">IF(N104&lt;=6,1,0)</f>
        <v>0</v>
      </c>
      <c r="P104" s="12" t="n">
        <f aca="false">IF(N104=1,1,0)</f>
        <v>0</v>
      </c>
      <c r="Q104" s="12" t="n">
        <f aca="false">IF(N104&lt;=2,1,0)</f>
        <v>0</v>
      </c>
      <c r="R104" s="12" t="n">
        <f aca="false">IF(N104&lt;=3,1,0)</f>
        <v>0</v>
      </c>
    </row>
    <row r="105" customFormat="false" ht="15" hidden="false" customHeight="false" outlineLevel="0" collapsed="false">
      <c r="A105" s="7" t="n">
        <v>2019</v>
      </c>
      <c r="B105" s="7" t="n">
        <v>8</v>
      </c>
      <c r="C105" s="8" t="s">
        <v>58</v>
      </c>
      <c r="D105" s="8" t="s">
        <v>59</v>
      </c>
      <c r="E105" s="7" t="n">
        <v>9</v>
      </c>
      <c r="F105" s="7" t="n">
        <v>4</v>
      </c>
      <c r="G105" s="7" t="n">
        <v>0</v>
      </c>
      <c r="H105" s="7" t="n">
        <v>13</v>
      </c>
      <c r="I105" s="8" t="str">
        <f aca="false">E105&amp;"-"&amp;F105&amp;"-"&amp;G105</f>
        <v>9-4-0</v>
      </c>
      <c r="J105" s="9" t="n">
        <f aca="false">(E105+0.5*G105)/H105</f>
        <v>0.692307692307692</v>
      </c>
      <c r="K105" s="10" t="n">
        <v>1457.84</v>
      </c>
      <c r="L105" s="11" t="n">
        <f aca="false">K105/H105</f>
        <v>112.141538461538</v>
      </c>
      <c r="M105" s="7" t="n">
        <f aca="false">SUMPRODUCT(($A$2:$A$181=A105)*($K$2:$K$181&gt;K105))+1</f>
        <v>2</v>
      </c>
      <c r="N105" s="7" t="n">
        <v>1</v>
      </c>
      <c r="O105" s="7" t="n">
        <f aca="false">IF(N105&lt;=6,1,0)</f>
        <v>1</v>
      </c>
      <c r="P105" s="7" t="n">
        <f aca="false">IF(N105=1,1,0)</f>
        <v>1</v>
      </c>
      <c r="Q105" s="7" t="n">
        <f aca="false">IF(N105&lt;=2,1,0)</f>
        <v>1</v>
      </c>
      <c r="R105" s="7" t="n">
        <f aca="false">IF(N105&lt;=3,1,0)</f>
        <v>1</v>
      </c>
    </row>
    <row r="106" customFormat="false" ht="15" hidden="false" customHeight="false" outlineLevel="0" collapsed="false">
      <c r="A106" s="7" t="n">
        <v>2019</v>
      </c>
      <c r="B106" s="7" t="n">
        <v>9</v>
      </c>
      <c r="C106" s="8" t="s">
        <v>76</v>
      </c>
      <c r="D106" s="8" t="s">
        <v>77</v>
      </c>
      <c r="E106" s="7" t="n">
        <v>7</v>
      </c>
      <c r="F106" s="7" t="n">
        <v>6</v>
      </c>
      <c r="G106" s="7" t="n">
        <v>0</v>
      </c>
      <c r="H106" s="7" t="n">
        <v>13</v>
      </c>
      <c r="I106" s="8" t="str">
        <f aca="false">E106&amp;"-"&amp;F106&amp;"-"&amp;G106</f>
        <v>7-6-0</v>
      </c>
      <c r="J106" s="9" t="n">
        <f aca="false">(E106+0.5*G106)/H106</f>
        <v>0.538461538461538</v>
      </c>
      <c r="K106" s="10" t="n">
        <v>1322.48</v>
      </c>
      <c r="L106" s="11" t="n">
        <f aca="false">K106/H106</f>
        <v>101.729230769231</v>
      </c>
      <c r="M106" s="7" t="n">
        <f aca="false">SUMPRODUCT(($A$2:$A$181=A106)*($K$2:$K$181&gt;K106))+1</f>
        <v>5</v>
      </c>
      <c r="N106" s="7" t="n">
        <v>3</v>
      </c>
      <c r="O106" s="7" t="n">
        <f aca="false">IF(N106&lt;=6,1,0)</f>
        <v>1</v>
      </c>
      <c r="P106" s="7" t="n">
        <f aca="false">IF(N106=1,1,0)</f>
        <v>0</v>
      </c>
      <c r="Q106" s="7" t="n">
        <f aca="false">IF(N106&lt;=2,1,0)</f>
        <v>0</v>
      </c>
      <c r="R106" s="7" t="n">
        <f aca="false">IF(N106&lt;=3,1,0)</f>
        <v>1</v>
      </c>
    </row>
    <row r="107" customFormat="false" ht="15" hidden="false" customHeight="false" outlineLevel="0" collapsed="false">
      <c r="A107" s="7" t="n">
        <v>2019</v>
      </c>
      <c r="B107" s="7" t="n">
        <v>10</v>
      </c>
      <c r="C107" s="8" t="s">
        <v>54</v>
      </c>
      <c r="D107" s="8" t="s">
        <v>55</v>
      </c>
      <c r="E107" s="7" t="n">
        <v>9</v>
      </c>
      <c r="F107" s="7" t="n">
        <v>4</v>
      </c>
      <c r="G107" s="7" t="n">
        <v>0</v>
      </c>
      <c r="H107" s="7" t="n">
        <v>13</v>
      </c>
      <c r="I107" s="8" t="str">
        <f aca="false">E107&amp;"-"&amp;F107&amp;"-"&amp;G107</f>
        <v>9-4-0</v>
      </c>
      <c r="J107" s="9" t="n">
        <f aca="false">(E107+0.5*G107)/H107</f>
        <v>0.692307692307692</v>
      </c>
      <c r="K107" s="10" t="n">
        <v>1414.44</v>
      </c>
      <c r="L107" s="11" t="n">
        <f aca="false">K107/H107</f>
        <v>108.803076923077</v>
      </c>
      <c r="M107" s="7" t="n">
        <f aca="false">SUMPRODUCT(($A$2:$A$181=A107)*($K$2:$K$181&gt;K107))+1</f>
        <v>3</v>
      </c>
      <c r="N107" s="7" t="n">
        <v>2</v>
      </c>
      <c r="O107" s="7" t="n">
        <f aca="false">IF(N107&lt;=6,1,0)</f>
        <v>1</v>
      </c>
      <c r="P107" s="7" t="n">
        <f aca="false">IF(N107=1,1,0)</f>
        <v>0</v>
      </c>
      <c r="Q107" s="7" t="n">
        <f aca="false">IF(N107&lt;=2,1,0)</f>
        <v>1</v>
      </c>
      <c r="R107" s="7" t="n">
        <f aca="false">IF(N107&lt;=3,1,0)</f>
        <v>1</v>
      </c>
    </row>
    <row r="108" customFormat="false" ht="15" hidden="false" customHeight="false" outlineLevel="0" collapsed="false">
      <c r="A108" s="12" t="n">
        <v>2019</v>
      </c>
      <c r="B108" s="12" t="n">
        <v>11</v>
      </c>
      <c r="C108" s="13" t="s">
        <v>66</v>
      </c>
      <c r="D108" s="13" t="s">
        <v>67</v>
      </c>
      <c r="E108" s="12" t="n">
        <v>5</v>
      </c>
      <c r="F108" s="12" t="n">
        <v>8</v>
      </c>
      <c r="G108" s="12" t="n">
        <v>0</v>
      </c>
      <c r="H108" s="12" t="n">
        <v>13</v>
      </c>
      <c r="I108" s="13" t="str">
        <f aca="false">E108&amp;"-"&amp;F108&amp;"-"&amp;G108</f>
        <v>5-8-0</v>
      </c>
      <c r="J108" s="14" t="n">
        <f aca="false">(E108+0.5*G108)/H108</f>
        <v>0.384615384615385</v>
      </c>
      <c r="K108" s="15" t="n">
        <v>1152.28</v>
      </c>
      <c r="L108" s="16" t="n">
        <f aca="false">K108/H108</f>
        <v>88.6369230769231</v>
      </c>
      <c r="M108" s="12" t="n">
        <f aca="false">SUMPRODUCT(($A$2:$A$181=A108)*($K$2:$K$181&gt;K108))+1</f>
        <v>11</v>
      </c>
      <c r="N108" s="12" t="n">
        <v>12</v>
      </c>
      <c r="O108" s="12" t="n">
        <f aca="false">IF(N108&lt;=6,1,0)</f>
        <v>0</v>
      </c>
      <c r="P108" s="12" t="n">
        <f aca="false">IF(N108=1,1,0)</f>
        <v>0</v>
      </c>
      <c r="Q108" s="12" t="n">
        <f aca="false">IF(N108&lt;=2,1,0)</f>
        <v>0</v>
      </c>
      <c r="R108" s="12" t="n">
        <f aca="false">IF(N108&lt;=3,1,0)</f>
        <v>0</v>
      </c>
    </row>
    <row r="109" customFormat="false" ht="15" hidden="false" customHeight="false" outlineLevel="0" collapsed="false">
      <c r="A109" s="12" t="n">
        <v>2019</v>
      </c>
      <c r="B109" s="12" t="n">
        <v>12</v>
      </c>
      <c r="C109" s="13" t="s">
        <v>56</v>
      </c>
      <c r="D109" s="13" t="s">
        <v>57</v>
      </c>
      <c r="E109" s="12" t="n">
        <v>6</v>
      </c>
      <c r="F109" s="12" t="n">
        <v>7</v>
      </c>
      <c r="G109" s="12" t="n">
        <v>0</v>
      </c>
      <c r="H109" s="12" t="n">
        <v>13</v>
      </c>
      <c r="I109" s="13" t="str">
        <f aca="false">E109&amp;"-"&amp;F109&amp;"-"&amp;G109</f>
        <v>6-7-0</v>
      </c>
      <c r="J109" s="14" t="n">
        <f aca="false">(E109+0.5*G109)/H109</f>
        <v>0.461538461538462</v>
      </c>
      <c r="K109" s="15" t="n">
        <v>1249.78</v>
      </c>
      <c r="L109" s="16" t="n">
        <f aca="false">K109/H109</f>
        <v>96.1369230769231</v>
      </c>
      <c r="M109" s="12" t="n">
        <f aca="false">SUMPRODUCT(($A$2:$A$181=A109)*($K$2:$K$181&gt;K109))+1</f>
        <v>7</v>
      </c>
      <c r="N109" s="12" t="n">
        <v>10</v>
      </c>
      <c r="O109" s="12" t="n">
        <f aca="false">IF(N109&lt;=6,1,0)</f>
        <v>0</v>
      </c>
      <c r="P109" s="12" t="n">
        <f aca="false">IF(N109=1,1,0)</f>
        <v>0</v>
      </c>
      <c r="Q109" s="12" t="n">
        <f aca="false">IF(N109&lt;=2,1,0)</f>
        <v>0</v>
      </c>
      <c r="R109" s="12" t="n">
        <f aca="false">IF(N109&lt;=3,1,0)</f>
        <v>0</v>
      </c>
    </row>
    <row r="110" customFormat="false" ht="15" hidden="false" customHeight="false" outlineLevel="0" collapsed="false">
      <c r="A110" s="12" t="n">
        <v>2020</v>
      </c>
      <c r="B110" s="12" t="n">
        <v>1</v>
      </c>
      <c r="C110" s="13" t="s">
        <v>64</v>
      </c>
      <c r="D110" s="13" t="s">
        <v>65</v>
      </c>
      <c r="E110" s="12" t="n">
        <v>5</v>
      </c>
      <c r="F110" s="12" t="n">
        <v>8</v>
      </c>
      <c r="G110" s="12" t="n">
        <v>0</v>
      </c>
      <c r="H110" s="12" t="n">
        <v>13</v>
      </c>
      <c r="I110" s="13" t="str">
        <f aca="false">E110&amp;"-"&amp;F110&amp;"-"&amp;G110</f>
        <v>5-8-0</v>
      </c>
      <c r="J110" s="14" t="n">
        <f aca="false">(E110+0.5*G110)/H110</f>
        <v>0.384615384615385</v>
      </c>
      <c r="K110" s="15" t="n">
        <v>1322.86</v>
      </c>
      <c r="L110" s="16" t="n">
        <f aca="false">K110/H110</f>
        <v>101.758461538462</v>
      </c>
      <c r="M110" s="12" t="n">
        <f aca="false">SUMPRODUCT(($A$2:$A$181=A110)*($K$2:$K$181&gt;K110))+1</f>
        <v>10</v>
      </c>
      <c r="N110" s="12" t="n">
        <v>12</v>
      </c>
      <c r="O110" s="12" t="n">
        <f aca="false">IF(N110&lt;=6,1,0)</f>
        <v>0</v>
      </c>
      <c r="P110" s="12" t="n">
        <f aca="false">IF(N110=1,1,0)</f>
        <v>0</v>
      </c>
      <c r="Q110" s="12" t="n">
        <f aca="false">IF(N110&lt;=2,1,0)</f>
        <v>0</v>
      </c>
      <c r="R110" s="12" t="n">
        <f aca="false">IF(N110&lt;=3,1,0)</f>
        <v>0</v>
      </c>
    </row>
    <row r="111" customFormat="false" ht="15" hidden="false" customHeight="false" outlineLevel="0" collapsed="false">
      <c r="A111" s="12" t="n">
        <v>2020</v>
      </c>
      <c r="B111" s="12" t="n">
        <v>2</v>
      </c>
      <c r="C111" s="13" t="s">
        <v>70</v>
      </c>
      <c r="D111" s="13" t="s">
        <v>71</v>
      </c>
      <c r="E111" s="12" t="n">
        <v>4</v>
      </c>
      <c r="F111" s="12" t="n">
        <v>9</v>
      </c>
      <c r="G111" s="12" t="n">
        <v>0</v>
      </c>
      <c r="H111" s="12" t="n">
        <v>13</v>
      </c>
      <c r="I111" s="13" t="str">
        <f aca="false">E111&amp;"-"&amp;F111&amp;"-"&amp;G111</f>
        <v>4-9-0</v>
      </c>
      <c r="J111" s="14" t="n">
        <f aca="false">(E111+0.5*G111)/H111</f>
        <v>0.307692307692308</v>
      </c>
      <c r="K111" s="15" t="n">
        <v>1195.64</v>
      </c>
      <c r="L111" s="16" t="n">
        <f aca="false">K111/H111</f>
        <v>91.9723076923077</v>
      </c>
      <c r="M111" s="12" t="n">
        <f aca="false">SUMPRODUCT(($A$2:$A$181=A111)*($K$2:$K$181&gt;K111))+1</f>
        <v>12</v>
      </c>
      <c r="N111" s="12" t="n">
        <v>9</v>
      </c>
      <c r="O111" s="12" t="n">
        <f aca="false">IF(N111&lt;=6,1,0)</f>
        <v>0</v>
      </c>
      <c r="P111" s="12" t="n">
        <f aca="false">IF(N111=1,1,0)</f>
        <v>0</v>
      </c>
      <c r="Q111" s="12" t="n">
        <f aca="false">IF(N111&lt;=2,1,0)</f>
        <v>0</v>
      </c>
      <c r="R111" s="12" t="n">
        <f aca="false">IF(N111&lt;=3,1,0)</f>
        <v>0</v>
      </c>
    </row>
    <row r="112" customFormat="false" ht="15" hidden="false" customHeight="false" outlineLevel="0" collapsed="false">
      <c r="A112" s="7" t="n">
        <v>2020</v>
      </c>
      <c r="B112" s="7" t="n">
        <v>3</v>
      </c>
      <c r="C112" s="8" t="s">
        <v>89</v>
      </c>
      <c r="D112" s="8" t="s">
        <v>85</v>
      </c>
      <c r="E112" s="7" t="n">
        <v>7</v>
      </c>
      <c r="F112" s="7" t="n">
        <v>6</v>
      </c>
      <c r="G112" s="7" t="n">
        <v>0</v>
      </c>
      <c r="H112" s="7" t="n">
        <v>13</v>
      </c>
      <c r="I112" s="8" t="str">
        <f aca="false">E112&amp;"-"&amp;F112&amp;"-"&amp;G112</f>
        <v>7-6-0</v>
      </c>
      <c r="J112" s="9" t="n">
        <f aca="false">(E112+0.5*G112)/H112</f>
        <v>0.538461538461538</v>
      </c>
      <c r="K112" s="10" t="n">
        <v>1420.02</v>
      </c>
      <c r="L112" s="11" t="n">
        <f aca="false">K112/H112</f>
        <v>109.232307692308</v>
      </c>
      <c r="M112" s="7" t="n">
        <f aca="false">SUMPRODUCT(($A$2:$A$181=A112)*($K$2:$K$181&gt;K112))+1</f>
        <v>7</v>
      </c>
      <c r="N112" s="7" t="n">
        <v>6</v>
      </c>
      <c r="O112" s="7" t="n">
        <f aca="false">IF(N112&lt;=6,1,0)</f>
        <v>1</v>
      </c>
      <c r="P112" s="7" t="n">
        <f aca="false">IF(N112=1,1,0)</f>
        <v>0</v>
      </c>
      <c r="Q112" s="7" t="n">
        <f aca="false">IF(N112&lt;=2,1,0)</f>
        <v>0</v>
      </c>
      <c r="R112" s="7" t="n">
        <f aca="false">IF(N112&lt;=3,1,0)</f>
        <v>0</v>
      </c>
    </row>
    <row r="113" customFormat="false" ht="15" hidden="false" customHeight="false" outlineLevel="0" collapsed="false">
      <c r="A113" s="12" t="n">
        <v>2020</v>
      </c>
      <c r="B113" s="12" t="n">
        <v>4</v>
      </c>
      <c r="C113" s="13" t="s">
        <v>58</v>
      </c>
      <c r="D113" s="13" t="s">
        <v>59</v>
      </c>
      <c r="E113" s="12" t="n">
        <v>4</v>
      </c>
      <c r="F113" s="12" t="n">
        <v>9</v>
      </c>
      <c r="G113" s="12" t="n">
        <v>0</v>
      </c>
      <c r="H113" s="12" t="n">
        <v>13</v>
      </c>
      <c r="I113" s="13" t="str">
        <f aca="false">E113&amp;"-"&amp;F113&amp;"-"&amp;G113</f>
        <v>4-9-0</v>
      </c>
      <c r="J113" s="14" t="n">
        <f aca="false">(E113+0.5*G113)/H113</f>
        <v>0.307692307692308</v>
      </c>
      <c r="K113" s="15" t="n">
        <v>1440.48</v>
      </c>
      <c r="L113" s="16" t="n">
        <f aca="false">K113/H113</f>
        <v>110.806153846154</v>
      </c>
      <c r="M113" s="12" t="n">
        <f aca="false">SUMPRODUCT(($A$2:$A$181=A113)*($K$2:$K$181&gt;K113))+1</f>
        <v>6</v>
      </c>
      <c r="N113" s="12" t="n">
        <v>8</v>
      </c>
      <c r="O113" s="12" t="n">
        <f aca="false">IF(N113&lt;=6,1,0)</f>
        <v>0</v>
      </c>
      <c r="P113" s="12" t="n">
        <f aca="false">IF(N113=1,1,0)</f>
        <v>0</v>
      </c>
      <c r="Q113" s="12" t="n">
        <f aca="false">IF(N113&lt;=2,1,0)</f>
        <v>0</v>
      </c>
      <c r="R113" s="12" t="n">
        <f aca="false">IF(N113&lt;=3,1,0)</f>
        <v>0</v>
      </c>
    </row>
    <row r="114" customFormat="false" ht="15" hidden="false" customHeight="false" outlineLevel="0" collapsed="false">
      <c r="A114" s="7" t="n">
        <v>2020</v>
      </c>
      <c r="B114" s="7" t="n">
        <v>5</v>
      </c>
      <c r="C114" s="8" t="s">
        <v>90</v>
      </c>
      <c r="D114" s="8" t="s">
        <v>61</v>
      </c>
      <c r="E114" s="7" t="n">
        <v>8</v>
      </c>
      <c r="F114" s="7" t="n">
        <v>5</v>
      </c>
      <c r="G114" s="7" t="n">
        <v>0</v>
      </c>
      <c r="H114" s="7" t="n">
        <v>13</v>
      </c>
      <c r="I114" s="8" t="str">
        <f aca="false">E114&amp;"-"&amp;F114&amp;"-"&amp;G114</f>
        <v>8-5-0</v>
      </c>
      <c r="J114" s="9" t="n">
        <f aca="false">(E114+0.5*G114)/H114</f>
        <v>0.615384615384615</v>
      </c>
      <c r="K114" s="10" t="n">
        <v>1522.88</v>
      </c>
      <c r="L114" s="11" t="n">
        <f aca="false">K114/H114</f>
        <v>117.144615384615</v>
      </c>
      <c r="M114" s="7" t="n">
        <f aca="false">SUMPRODUCT(($A$2:$A$181=A114)*($K$2:$K$181&gt;K114))+1</f>
        <v>2</v>
      </c>
      <c r="N114" s="7" t="n">
        <v>3</v>
      </c>
      <c r="O114" s="7" t="n">
        <f aca="false">IF(N114&lt;=6,1,0)</f>
        <v>1</v>
      </c>
      <c r="P114" s="7" t="n">
        <f aca="false">IF(N114=1,1,0)</f>
        <v>0</v>
      </c>
      <c r="Q114" s="7" t="n">
        <f aca="false">IF(N114&lt;=2,1,0)</f>
        <v>0</v>
      </c>
      <c r="R114" s="7" t="n">
        <f aca="false">IF(N114&lt;=3,1,0)</f>
        <v>1</v>
      </c>
    </row>
    <row r="115" customFormat="false" ht="15" hidden="false" customHeight="false" outlineLevel="0" collapsed="false">
      <c r="A115" s="7" t="n">
        <v>2020</v>
      </c>
      <c r="B115" s="7" t="n">
        <v>6</v>
      </c>
      <c r="C115" s="8" t="s">
        <v>83</v>
      </c>
      <c r="D115" s="8" t="s">
        <v>69</v>
      </c>
      <c r="E115" s="7" t="n">
        <v>7</v>
      </c>
      <c r="F115" s="7" t="n">
        <v>6</v>
      </c>
      <c r="G115" s="7" t="n">
        <v>0</v>
      </c>
      <c r="H115" s="7" t="n">
        <v>13</v>
      </c>
      <c r="I115" s="8" t="str">
        <f aca="false">E115&amp;"-"&amp;F115&amp;"-"&amp;G115</f>
        <v>7-6-0</v>
      </c>
      <c r="J115" s="9" t="n">
        <f aca="false">(E115+0.5*G115)/H115</f>
        <v>0.538461538461538</v>
      </c>
      <c r="K115" s="10" t="n">
        <v>1558.02</v>
      </c>
      <c r="L115" s="11" t="n">
        <f aca="false">K115/H115</f>
        <v>119.847692307692</v>
      </c>
      <c r="M115" s="7" t="n">
        <f aca="false">SUMPRODUCT(($A$2:$A$181=A115)*($K$2:$K$181&gt;K115))+1</f>
        <v>1</v>
      </c>
      <c r="N115" s="7" t="n">
        <v>1</v>
      </c>
      <c r="O115" s="7" t="n">
        <f aca="false">IF(N115&lt;=6,1,0)</f>
        <v>1</v>
      </c>
      <c r="P115" s="7" t="n">
        <f aca="false">IF(N115=1,1,0)</f>
        <v>1</v>
      </c>
      <c r="Q115" s="7" t="n">
        <f aca="false">IF(N115&lt;=2,1,0)</f>
        <v>1</v>
      </c>
      <c r="R115" s="7" t="n">
        <f aca="false">IF(N115&lt;=3,1,0)</f>
        <v>1</v>
      </c>
    </row>
    <row r="116" customFormat="false" ht="15" hidden="false" customHeight="false" outlineLevel="0" collapsed="false">
      <c r="A116" s="12" t="n">
        <v>2020</v>
      </c>
      <c r="B116" s="12" t="n">
        <v>7</v>
      </c>
      <c r="C116" s="13" t="s">
        <v>72</v>
      </c>
      <c r="D116" s="13" t="s">
        <v>73</v>
      </c>
      <c r="E116" s="12" t="n">
        <v>6</v>
      </c>
      <c r="F116" s="12" t="n">
        <v>7</v>
      </c>
      <c r="G116" s="12" t="n">
        <v>0</v>
      </c>
      <c r="H116" s="12" t="n">
        <v>13</v>
      </c>
      <c r="I116" s="13" t="str">
        <f aca="false">E116&amp;"-"&amp;F116&amp;"-"&amp;G116</f>
        <v>6-7-0</v>
      </c>
      <c r="J116" s="14" t="n">
        <f aca="false">(E116+0.5*G116)/H116</f>
        <v>0.461538461538462</v>
      </c>
      <c r="K116" s="15" t="n">
        <v>1501</v>
      </c>
      <c r="L116" s="16" t="n">
        <f aca="false">K116/H116</f>
        <v>115.461538461538</v>
      </c>
      <c r="M116" s="12" t="n">
        <f aca="false">SUMPRODUCT(($A$2:$A$181=A116)*($K$2:$K$181&gt;K116))+1</f>
        <v>3</v>
      </c>
      <c r="N116" s="12" t="n">
        <v>7</v>
      </c>
      <c r="O116" s="12" t="n">
        <f aca="false">IF(N116&lt;=6,1,0)</f>
        <v>0</v>
      </c>
      <c r="P116" s="12" t="n">
        <f aca="false">IF(N116=1,1,0)</f>
        <v>0</v>
      </c>
      <c r="Q116" s="12" t="n">
        <f aca="false">IF(N116&lt;=2,1,0)</f>
        <v>0</v>
      </c>
      <c r="R116" s="12" t="n">
        <f aca="false">IF(N116&lt;=3,1,0)</f>
        <v>0</v>
      </c>
    </row>
    <row r="117" customFormat="false" ht="15" hidden="false" customHeight="false" outlineLevel="0" collapsed="false">
      <c r="A117" s="12" t="n">
        <v>2020</v>
      </c>
      <c r="B117" s="12" t="n">
        <v>8</v>
      </c>
      <c r="C117" s="13" t="s">
        <v>54</v>
      </c>
      <c r="D117" s="13" t="s">
        <v>55</v>
      </c>
      <c r="E117" s="12" t="n">
        <v>5</v>
      </c>
      <c r="F117" s="12" t="n">
        <v>8</v>
      </c>
      <c r="G117" s="12" t="n">
        <v>0</v>
      </c>
      <c r="H117" s="12" t="n">
        <v>13</v>
      </c>
      <c r="I117" s="13" t="str">
        <f aca="false">E117&amp;"-"&amp;F117&amp;"-"&amp;G117</f>
        <v>5-8-0</v>
      </c>
      <c r="J117" s="14" t="n">
        <f aca="false">(E117+0.5*G117)/H117</f>
        <v>0.384615384615385</v>
      </c>
      <c r="K117" s="15" t="n">
        <v>1245.38</v>
      </c>
      <c r="L117" s="16" t="n">
        <f aca="false">K117/H117</f>
        <v>95.7984615384616</v>
      </c>
      <c r="M117" s="12" t="n">
        <f aca="false">SUMPRODUCT(($A$2:$A$181=A117)*($K$2:$K$181&gt;K117))+1</f>
        <v>11</v>
      </c>
      <c r="N117" s="12" t="n">
        <v>11</v>
      </c>
      <c r="O117" s="12" t="n">
        <f aca="false">IF(N117&lt;=6,1,0)</f>
        <v>0</v>
      </c>
      <c r="P117" s="12" t="n">
        <f aca="false">IF(N117=1,1,0)</f>
        <v>0</v>
      </c>
      <c r="Q117" s="12" t="n">
        <f aca="false">IF(N117&lt;=2,1,0)</f>
        <v>0</v>
      </c>
      <c r="R117" s="12" t="n">
        <f aca="false">IF(N117&lt;=3,1,0)</f>
        <v>0</v>
      </c>
    </row>
    <row r="118" customFormat="false" ht="15" hidden="false" customHeight="false" outlineLevel="0" collapsed="false">
      <c r="A118" s="7" t="n">
        <v>2020</v>
      </c>
      <c r="B118" s="7" t="n">
        <v>9</v>
      </c>
      <c r="C118" s="8" t="s">
        <v>66</v>
      </c>
      <c r="D118" s="8" t="s">
        <v>67</v>
      </c>
      <c r="E118" s="7" t="n">
        <v>7</v>
      </c>
      <c r="F118" s="7" t="n">
        <v>6</v>
      </c>
      <c r="G118" s="7" t="n">
        <v>0</v>
      </c>
      <c r="H118" s="7" t="n">
        <v>13</v>
      </c>
      <c r="I118" s="8" t="str">
        <f aca="false">E118&amp;"-"&amp;F118&amp;"-"&amp;G118</f>
        <v>7-6-0</v>
      </c>
      <c r="J118" s="9" t="n">
        <f aca="false">(E118+0.5*G118)/H118</f>
        <v>0.538461538461538</v>
      </c>
      <c r="K118" s="10" t="n">
        <v>1415.36</v>
      </c>
      <c r="L118" s="11" t="n">
        <f aca="false">K118/H118</f>
        <v>108.873846153846</v>
      </c>
      <c r="M118" s="7" t="n">
        <f aca="false">SUMPRODUCT(($A$2:$A$181=A118)*($K$2:$K$181&gt;K118))+1</f>
        <v>9</v>
      </c>
      <c r="N118" s="7" t="n">
        <v>2</v>
      </c>
      <c r="O118" s="7" t="n">
        <f aca="false">IF(N118&lt;=6,1,0)</f>
        <v>1</v>
      </c>
      <c r="P118" s="7" t="n">
        <f aca="false">IF(N118=1,1,0)</f>
        <v>0</v>
      </c>
      <c r="Q118" s="7" t="n">
        <f aca="false">IF(N118&lt;=2,1,0)</f>
        <v>1</v>
      </c>
      <c r="R118" s="7" t="n">
        <f aca="false">IF(N118&lt;=3,1,0)</f>
        <v>1</v>
      </c>
    </row>
    <row r="119" customFormat="false" ht="15" hidden="false" customHeight="false" outlineLevel="0" collapsed="false">
      <c r="A119" s="12" t="n">
        <v>2020</v>
      </c>
      <c r="B119" s="12" t="n">
        <v>10</v>
      </c>
      <c r="C119" s="13" t="s">
        <v>62</v>
      </c>
      <c r="D119" s="13" t="s">
        <v>63</v>
      </c>
      <c r="E119" s="12" t="n">
        <v>6</v>
      </c>
      <c r="F119" s="12" t="n">
        <v>7</v>
      </c>
      <c r="G119" s="12" t="n">
        <v>0</v>
      </c>
      <c r="H119" s="12" t="n">
        <v>13</v>
      </c>
      <c r="I119" s="13" t="str">
        <f aca="false">E119&amp;"-"&amp;F119&amp;"-"&amp;G119</f>
        <v>6-7-0</v>
      </c>
      <c r="J119" s="14" t="n">
        <f aca="false">(E119+0.5*G119)/H119</f>
        <v>0.461538461538462</v>
      </c>
      <c r="K119" s="15" t="n">
        <v>1418.68</v>
      </c>
      <c r="L119" s="16" t="n">
        <f aca="false">K119/H119</f>
        <v>109.129230769231</v>
      </c>
      <c r="M119" s="12" t="n">
        <f aca="false">SUMPRODUCT(($A$2:$A$181=A119)*($K$2:$K$181&gt;K119))+1</f>
        <v>8</v>
      </c>
      <c r="N119" s="12" t="n">
        <v>10</v>
      </c>
      <c r="O119" s="12" t="n">
        <f aca="false">IF(N119&lt;=6,1,0)</f>
        <v>0</v>
      </c>
      <c r="P119" s="12" t="n">
        <f aca="false">IF(N119=1,1,0)</f>
        <v>0</v>
      </c>
      <c r="Q119" s="12" t="n">
        <f aca="false">IF(N119&lt;=2,1,0)</f>
        <v>0</v>
      </c>
      <c r="R119" s="12" t="n">
        <f aca="false">IF(N119&lt;=3,1,0)</f>
        <v>0</v>
      </c>
    </row>
    <row r="120" customFormat="false" ht="15" hidden="false" customHeight="false" outlineLevel="0" collapsed="false">
      <c r="A120" s="7" t="n">
        <v>2020</v>
      </c>
      <c r="B120" s="7" t="n">
        <v>11</v>
      </c>
      <c r="C120" s="8" t="s">
        <v>56</v>
      </c>
      <c r="D120" s="8" t="s">
        <v>57</v>
      </c>
      <c r="E120" s="7" t="n">
        <v>8</v>
      </c>
      <c r="F120" s="7" t="n">
        <v>5</v>
      </c>
      <c r="G120" s="7" t="n">
        <v>0</v>
      </c>
      <c r="H120" s="7" t="n">
        <v>13</v>
      </c>
      <c r="I120" s="8" t="str">
        <f aca="false">E120&amp;"-"&amp;F120&amp;"-"&amp;G120</f>
        <v>8-5-0</v>
      </c>
      <c r="J120" s="9" t="n">
        <f aca="false">(E120+0.5*G120)/H120</f>
        <v>0.615384615384615</v>
      </c>
      <c r="K120" s="10" t="n">
        <v>1482.78</v>
      </c>
      <c r="L120" s="11" t="n">
        <f aca="false">K120/H120</f>
        <v>114.06</v>
      </c>
      <c r="M120" s="7" t="n">
        <f aca="false">SUMPRODUCT(($A$2:$A$181=A120)*($K$2:$K$181&gt;K120))+1</f>
        <v>4</v>
      </c>
      <c r="N120" s="7" t="n">
        <v>5</v>
      </c>
      <c r="O120" s="7" t="n">
        <f aca="false">IF(N120&lt;=6,1,0)</f>
        <v>1</v>
      </c>
      <c r="P120" s="7" t="n">
        <f aca="false">IF(N120=1,1,0)</f>
        <v>0</v>
      </c>
      <c r="Q120" s="7" t="n">
        <f aca="false">IF(N120&lt;=2,1,0)</f>
        <v>0</v>
      </c>
      <c r="R120" s="7" t="n">
        <f aca="false">IF(N120&lt;=3,1,0)</f>
        <v>0</v>
      </c>
    </row>
    <row r="121" customFormat="false" ht="15" hidden="false" customHeight="false" outlineLevel="0" collapsed="false">
      <c r="A121" s="7" t="n">
        <v>2020</v>
      </c>
      <c r="B121" s="7" t="n">
        <v>12</v>
      </c>
      <c r="C121" s="8" t="s">
        <v>76</v>
      </c>
      <c r="D121" s="8" t="s">
        <v>77</v>
      </c>
      <c r="E121" s="7" t="n">
        <v>11</v>
      </c>
      <c r="F121" s="7" t="n">
        <v>2</v>
      </c>
      <c r="G121" s="7" t="n">
        <v>0</v>
      </c>
      <c r="H121" s="7" t="n">
        <v>13</v>
      </c>
      <c r="I121" s="8" t="str">
        <f aca="false">E121&amp;"-"&amp;F121&amp;"-"&amp;G121</f>
        <v>11-2-0</v>
      </c>
      <c r="J121" s="9" t="n">
        <f aca="false">(E121+0.5*G121)/H121</f>
        <v>0.846153846153846</v>
      </c>
      <c r="K121" s="10" t="n">
        <v>1450.4</v>
      </c>
      <c r="L121" s="11" t="n">
        <f aca="false">K121/H121</f>
        <v>111.569230769231</v>
      </c>
      <c r="M121" s="7" t="n">
        <f aca="false">SUMPRODUCT(($A$2:$A$181=A121)*($K$2:$K$181&gt;K121))+1</f>
        <v>5</v>
      </c>
      <c r="N121" s="7" t="n">
        <v>4</v>
      </c>
      <c r="O121" s="7" t="n">
        <f aca="false">IF(N121&lt;=6,1,0)</f>
        <v>1</v>
      </c>
      <c r="P121" s="7" t="n">
        <f aca="false">IF(N121=1,1,0)</f>
        <v>0</v>
      </c>
      <c r="Q121" s="7" t="n">
        <f aca="false">IF(N121&lt;=2,1,0)</f>
        <v>0</v>
      </c>
      <c r="R121" s="7" t="n">
        <f aca="false">IF(N121&lt;=3,1,0)</f>
        <v>0</v>
      </c>
    </row>
    <row r="122" customFormat="false" ht="15" hidden="false" customHeight="false" outlineLevel="0" collapsed="false">
      <c r="A122" s="12" t="n">
        <v>2021</v>
      </c>
      <c r="B122" s="12" t="n">
        <v>1</v>
      </c>
      <c r="C122" s="13" t="s">
        <v>56</v>
      </c>
      <c r="D122" s="13" t="s">
        <v>57</v>
      </c>
      <c r="E122" s="12" t="n">
        <v>7</v>
      </c>
      <c r="F122" s="12" t="n">
        <v>7</v>
      </c>
      <c r="G122" s="12" t="n">
        <v>0</v>
      </c>
      <c r="H122" s="12" t="n">
        <v>14</v>
      </c>
      <c r="I122" s="13" t="str">
        <f aca="false">E122&amp;"-"&amp;F122&amp;"-"&amp;G122</f>
        <v>7-7-0</v>
      </c>
      <c r="J122" s="14" t="n">
        <f aca="false">(E122+0.5*G122)/H122</f>
        <v>0.5</v>
      </c>
      <c r="K122" s="15" t="n">
        <v>1389.68</v>
      </c>
      <c r="L122" s="16" t="n">
        <f aca="false">K122/H122</f>
        <v>99.2628571428571</v>
      </c>
      <c r="M122" s="12" t="n">
        <f aca="false">SUMPRODUCT(($A$2:$A$181=A122)*($K$2:$K$181&gt;K122))+1</f>
        <v>12</v>
      </c>
      <c r="N122" s="12" t="n">
        <v>9</v>
      </c>
      <c r="O122" s="12" t="n">
        <f aca="false">IF(N122&lt;=6,1,0)</f>
        <v>0</v>
      </c>
      <c r="P122" s="12" t="n">
        <f aca="false">IF(N122=1,1,0)</f>
        <v>0</v>
      </c>
      <c r="Q122" s="12" t="n">
        <f aca="false">IF(N122&lt;=2,1,0)</f>
        <v>0</v>
      </c>
      <c r="R122" s="12" t="n">
        <f aca="false">IF(N122&lt;=3,1,0)</f>
        <v>0</v>
      </c>
    </row>
    <row r="123" customFormat="false" ht="15" hidden="false" customHeight="false" outlineLevel="0" collapsed="false">
      <c r="A123" s="12" t="n">
        <v>2021</v>
      </c>
      <c r="B123" s="12" t="n">
        <v>2</v>
      </c>
      <c r="C123" s="13" t="s">
        <v>72</v>
      </c>
      <c r="D123" s="13" t="s">
        <v>73</v>
      </c>
      <c r="E123" s="12" t="n">
        <v>7</v>
      </c>
      <c r="F123" s="12" t="n">
        <v>7</v>
      </c>
      <c r="G123" s="12" t="n">
        <v>0</v>
      </c>
      <c r="H123" s="12" t="n">
        <v>14</v>
      </c>
      <c r="I123" s="13" t="str">
        <f aca="false">E123&amp;"-"&amp;F123&amp;"-"&amp;G123</f>
        <v>7-7-0</v>
      </c>
      <c r="J123" s="14" t="n">
        <f aca="false">(E123+0.5*G123)/H123</f>
        <v>0.5</v>
      </c>
      <c r="K123" s="15" t="n">
        <v>1522.46</v>
      </c>
      <c r="L123" s="16" t="n">
        <f aca="false">K123/H123</f>
        <v>108.747142857143</v>
      </c>
      <c r="M123" s="12" t="n">
        <f aca="false">SUMPRODUCT(($A$2:$A$181=A123)*($K$2:$K$181&gt;K123))+1</f>
        <v>6</v>
      </c>
      <c r="N123" s="12" t="n">
        <v>8</v>
      </c>
      <c r="O123" s="12" t="n">
        <f aca="false">IF(N123&lt;=6,1,0)</f>
        <v>0</v>
      </c>
      <c r="P123" s="12" t="n">
        <f aca="false">IF(N123=1,1,0)</f>
        <v>0</v>
      </c>
      <c r="Q123" s="12" t="n">
        <f aca="false">IF(N123&lt;=2,1,0)</f>
        <v>0</v>
      </c>
      <c r="R123" s="12" t="n">
        <f aca="false">IF(N123&lt;=3,1,0)</f>
        <v>0</v>
      </c>
    </row>
    <row r="124" customFormat="false" ht="15" hidden="false" customHeight="false" outlineLevel="0" collapsed="false">
      <c r="A124" s="7" t="n">
        <v>2021</v>
      </c>
      <c r="B124" s="7" t="n">
        <v>3</v>
      </c>
      <c r="C124" s="8" t="s">
        <v>62</v>
      </c>
      <c r="D124" s="8" t="s">
        <v>63</v>
      </c>
      <c r="E124" s="7" t="n">
        <v>8</v>
      </c>
      <c r="F124" s="7" t="n">
        <v>6</v>
      </c>
      <c r="G124" s="7" t="n">
        <v>0</v>
      </c>
      <c r="H124" s="7" t="n">
        <v>14</v>
      </c>
      <c r="I124" s="8" t="str">
        <f aca="false">E124&amp;"-"&amp;F124&amp;"-"&amp;G124</f>
        <v>8-6-0</v>
      </c>
      <c r="J124" s="9" t="n">
        <f aca="false">(E124+0.5*G124)/H124</f>
        <v>0.571428571428571</v>
      </c>
      <c r="K124" s="10" t="n">
        <v>1704.46</v>
      </c>
      <c r="L124" s="11" t="n">
        <f aca="false">K124/H124</f>
        <v>121.747142857143</v>
      </c>
      <c r="M124" s="7" t="n">
        <f aca="false">SUMPRODUCT(($A$2:$A$181=A124)*($K$2:$K$181&gt;K124))+1</f>
        <v>3</v>
      </c>
      <c r="N124" s="7" t="n">
        <v>4</v>
      </c>
      <c r="O124" s="7" t="n">
        <f aca="false">IF(N124&lt;=6,1,0)</f>
        <v>1</v>
      </c>
      <c r="P124" s="7" t="n">
        <f aca="false">IF(N124=1,1,0)</f>
        <v>0</v>
      </c>
      <c r="Q124" s="7" t="n">
        <f aca="false">IF(N124&lt;=2,1,0)</f>
        <v>0</v>
      </c>
      <c r="R124" s="7" t="n">
        <f aca="false">IF(N124&lt;=3,1,0)</f>
        <v>0</v>
      </c>
    </row>
    <row r="125" customFormat="false" ht="15" hidden="false" customHeight="false" outlineLevel="0" collapsed="false">
      <c r="A125" s="7" t="n">
        <v>2021</v>
      </c>
      <c r="B125" s="7" t="n">
        <v>4</v>
      </c>
      <c r="C125" s="8" t="s">
        <v>58</v>
      </c>
      <c r="D125" s="8" t="s">
        <v>59</v>
      </c>
      <c r="E125" s="7" t="n">
        <v>8</v>
      </c>
      <c r="F125" s="7" t="n">
        <v>6</v>
      </c>
      <c r="G125" s="7" t="n">
        <v>0</v>
      </c>
      <c r="H125" s="7" t="n">
        <v>14</v>
      </c>
      <c r="I125" s="8" t="str">
        <f aca="false">E125&amp;"-"&amp;F125&amp;"-"&amp;G125</f>
        <v>8-6-0</v>
      </c>
      <c r="J125" s="9" t="n">
        <f aca="false">(E125+0.5*G125)/H125</f>
        <v>0.571428571428571</v>
      </c>
      <c r="K125" s="10" t="n">
        <v>1741.16</v>
      </c>
      <c r="L125" s="11" t="n">
        <f aca="false">K125/H125</f>
        <v>124.368571428571</v>
      </c>
      <c r="M125" s="7" t="n">
        <f aca="false">SUMPRODUCT(($A$2:$A$181=A125)*($K$2:$K$181&gt;K125))+1</f>
        <v>1</v>
      </c>
      <c r="N125" s="7" t="n">
        <v>6</v>
      </c>
      <c r="O125" s="7" t="n">
        <f aca="false">IF(N125&lt;=6,1,0)</f>
        <v>1</v>
      </c>
      <c r="P125" s="7" t="n">
        <f aca="false">IF(N125=1,1,0)</f>
        <v>0</v>
      </c>
      <c r="Q125" s="7" t="n">
        <f aca="false">IF(N125&lt;=2,1,0)</f>
        <v>0</v>
      </c>
      <c r="R125" s="7" t="n">
        <f aca="false">IF(N125&lt;=3,1,0)</f>
        <v>0</v>
      </c>
    </row>
    <row r="126" customFormat="false" ht="15" hidden="false" customHeight="false" outlineLevel="0" collapsed="false">
      <c r="A126" s="7" t="n">
        <v>2021</v>
      </c>
      <c r="B126" s="7" t="n">
        <v>5</v>
      </c>
      <c r="C126" s="8" t="s">
        <v>91</v>
      </c>
      <c r="D126" s="8" t="s">
        <v>92</v>
      </c>
      <c r="E126" s="7" t="n">
        <v>10</v>
      </c>
      <c r="F126" s="7" t="n">
        <v>4</v>
      </c>
      <c r="G126" s="7" t="n">
        <v>0</v>
      </c>
      <c r="H126" s="7" t="n">
        <v>14</v>
      </c>
      <c r="I126" s="8" t="str">
        <f aca="false">E126&amp;"-"&amp;F126&amp;"-"&amp;G126</f>
        <v>10-4-0</v>
      </c>
      <c r="J126" s="9" t="n">
        <f aca="false">(E126+0.5*G126)/H126</f>
        <v>0.714285714285714</v>
      </c>
      <c r="K126" s="10" t="n">
        <v>1738.96</v>
      </c>
      <c r="L126" s="11" t="n">
        <f aca="false">K126/H126</f>
        <v>124.211428571429</v>
      </c>
      <c r="M126" s="7" t="n">
        <f aca="false">SUMPRODUCT(($A$2:$A$181=A126)*($K$2:$K$181&gt;K126))+1</f>
        <v>2</v>
      </c>
      <c r="N126" s="7" t="n">
        <v>5</v>
      </c>
      <c r="O126" s="7" t="n">
        <f aca="false">IF(N126&lt;=6,1,0)</f>
        <v>1</v>
      </c>
      <c r="P126" s="7" t="n">
        <f aca="false">IF(N126=1,1,0)</f>
        <v>0</v>
      </c>
      <c r="Q126" s="7" t="n">
        <f aca="false">IF(N126&lt;=2,1,0)</f>
        <v>0</v>
      </c>
      <c r="R126" s="7" t="n">
        <f aca="false">IF(N126&lt;=3,1,0)</f>
        <v>0</v>
      </c>
    </row>
    <row r="127" customFormat="false" ht="15" hidden="false" customHeight="false" outlineLevel="0" collapsed="false">
      <c r="A127" s="12" t="n">
        <v>2021</v>
      </c>
      <c r="B127" s="12" t="n">
        <v>6</v>
      </c>
      <c r="C127" s="13" t="s">
        <v>54</v>
      </c>
      <c r="D127" s="13" t="s">
        <v>55</v>
      </c>
      <c r="E127" s="12" t="n">
        <v>3</v>
      </c>
      <c r="F127" s="12" t="n">
        <v>11</v>
      </c>
      <c r="G127" s="12" t="n">
        <v>0</v>
      </c>
      <c r="H127" s="12" t="n">
        <v>14</v>
      </c>
      <c r="I127" s="13" t="str">
        <f aca="false">E127&amp;"-"&amp;F127&amp;"-"&amp;G127</f>
        <v>3-11-0</v>
      </c>
      <c r="J127" s="14" t="n">
        <f aca="false">(E127+0.5*G127)/H127</f>
        <v>0.214285714285714</v>
      </c>
      <c r="K127" s="15" t="n">
        <v>1455.94</v>
      </c>
      <c r="L127" s="16" t="n">
        <f aca="false">K127/H127</f>
        <v>103.995714285714</v>
      </c>
      <c r="M127" s="12" t="n">
        <f aca="false">SUMPRODUCT(($A$2:$A$181=A127)*($K$2:$K$181&gt;K127))+1</f>
        <v>8</v>
      </c>
      <c r="N127" s="12" t="n">
        <v>10</v>
      </c>
      <c r="O127" s="12" t="n">
        <f aca="false">IF(N127&lt;=6,1,0)</f>
        <v>0</v>
      </c>
      <c r="P127" s="12" t="n">
        <f aca="false">IF(N127=1,1,0)</f>
        <v>0</v>
      </c>
      <c r="Q127" s="12" t="n">
        <f aca="false">IF(N127&lt;=2,1,0)</f>
        <v>0</v>
      </c>
      <c r="R127" s="12" t="n">
        <f aca="false">IF(N127&lt;=3,1,0)</f>
        <v>0</v>
      </c>
    </row>
    <row r="128" customFormat="false" ht="15" hidden="false" customHeight="false" outlineLevel="0" collapsed="false">
      <c r="A128" s="7" t="n">
        <v>2021</v>
      </c>
      <c r="B128" s="7" t="n">
        <v>7</v>
      </c>
      <c r="C128" s="8" t="s">
        <v>66</v>
      </c>
      <c r="D128" s="8" t="s">
        <v>67</v>
      </c>
      <c r="E128" s="7" t="n">
        <v>10</v>
      </c>
      <c r="F128" s="7" t="n">
        <v>4</v>
      </c>
      <c r="G128" s="7" t="n">
        <v>0</v>
      </c>
      <c r="H128" s="7" t="n">
        <v>14</v>
      </c>
      <c r="I128" s="8" t="str">
        <f aca="false">E128&amp;"-"&amp;F128&amp;"-"&amp;G128</f>
        <v>10-4-0</v>
      </c>
      <c r="J128" s="9" t="n">
        <f aca="false">(E128+0.5*G128)/H128</f>
        <v>0.714285714285714</v>
      </c>
      <c r="K128" s="10" t="n">
        <v>1555.52</v>
      </c>
      <c r="L128" s="11" t="n">
        <f aca="false">K128/H128</f>
        <v>111.108571428571</v>
      </c>
      <c r="M128" s="7" t="n">
        <f aca="false">SUMPRODUCT(($A$2:$A$181=A128)*($K$2:$K$181&gt;K128))+1</f>
        <v>5</v>
      </c>
      <c r="N128" s="7" t="n">
        <v>3</v>
      </c>
      <c r="O128" s="7" t="n">
        <f aca="false">IF(N128&lt;=6,1,0)</f>
        <v>1</v>
      </c>
      <c r="P128" s="7" t="n">
        <f aca="false">IF(N128=1,1,0)</f>
        <v>0</v>
      </c>
      <c r="Q128" s="7" t="n">
        <f aca="false">IF(N128&lt;=2,1,0)</f>
        <v>0</v>
      </c>
      <c r="R128" s="7" t="n">
        <f aca="false">IF(N128&lt;=3,1,0)</f>
        <v>1</v>
      </c>
    </row>
    <row r="129" customFormat="false" ht="15" hidden="false" customHeight="false" outlineLevel="0" collapsed="false">
      <c r="A129" s="7" t="n">
        <v>2021</v>
      </c>
      <c r="B129" s="7" t="n">
        <v>8</v>
      </c>
      <c r="C129" s="8" t="s">
        <v>64</v>
      </c>
      <c r="D129" s="8" t="s">
        <v>65</v>
      </c>
      <c r="E129" s="7" t="n">
        <v>11</v>
      </c>
      <c r="F129" s="7" t="n">
        <v>3</v>
      </c>
      <c r="G129" s="7" t="n">
        <v>0</v>
      </c>
      <c r="H129" s="7" t="n">
        <v>14</v>
      </c>
      <c r="I129" s="8" t="str">
        <f aca="false">E129&amp;"-"&amp;F129&amp;"-"&amp;G129</f>
        <v>11-3-0</v>
      </c>
      <c r="J129" s="9" t="n">
        <f aca="false">(E129+0.5*G129)/H129</f>
        <v>0.785714285714286</v>
      </c>
      <c r="K129" s="10" t="n">
        <v>1661.34</v>
      </c>
      <c r="L129" s="11" t="n">
        <f aca="false">K129/H129</f>
        <v>118.667142857143</v>
      </c>
      <c r="M129" s="7" t="n">
        <f aca="false">SUMPRODUCT(($A$2:$A$181=A129)*($K$2:$K$181&gt;K129))+1</f>
        <v>4</v>
      </c>
      <c r="N129" s="7" t="n">
        <v>1</v>
      </c>
      <c r="O129" s="7" t="n">
        <f aca="false">IF(N129&lt;=6,1,0)</f>
        <v>1</v>
      </c>
      <c r="P129" s="7" t="n">
        <f aca="false">IF(N129=1,1,0)</f>
        <v>1</v>
      </c>
      <c r="Q129" s="7" t="n">
        <f aca="false">IF(N129&lt;=2,1,0)</f>
        <v>1</v>
      </c>
      <c r="R129" s="7" t="n">
        <f aca="false">IF(N129&lt;=3,1,0)</f>
        <v>1</v>
      </c>
    </row>
    <row r="130" customFormat="false" ht="15" hidden="false" customHeight="false" outlineLevel="0" collapsed="false">
      <c r="A130" s="12" t="n">
        <v>2021</v>
      </c>
      <c r="B130" s="12" t="n">
        <v>9</v>
      </c>
      <c r="C130" s="13" t="s">
        <v>90</v>
      </c>
      <c r="D130" s="13" t="s">
        <v>61</v>
      </c>
      <c r="E130" s="12" t="n">
        <v>4</v>
      </c>
      <c r="F130" s="12" t="n">
        <v>10</v>
      </c>
      <c r="G130" s="12" t="n">
        <v>0</v>
      </c>
      <c r="H130" s="12" t="n">
        <v>14</v>
      </c>
      <c r="I130" s="13" t="str">
        <f aca="false">E130&amp;"-"&amp;F130&amp;"-"&amp;G130</f>
        <v>4-10-0</v>
      </c>
      <c r="J130" s="14" t="n">
        <f aca="false">(E130+0.5*G130)/H130</f>
        <v>0.285714285714286</v>
      </c>
      <c r="K130" s="15" t="n">
        <v>1412.06</v>
      </c>
      <c r="L130" s="16" t="n">
        <f aca="false">K130/H130</f>
        <v>100.861428571429</v>
      </c>
      <c r="M130" s="12" t="n">
        <f aca="false">SUMPRODUCT(($A$2:$A$181=A130)*($K$2:$K$181&gt;K130))+1</f>
        <v>11</v>
      </c>
      <c r="N130" s="12" t="n">
        <v>7</v>
      </c>
      <c r="O130" s="12" t="n">
        <f aca="false">IF(N130&lt;=6,1,0)</f>
        <v>0</v>
      </c>
      <c r="P130" s="12" t="n">
        <f aca="false">IF(N130=1,1,0)</f>
        <v>0</v>
      </c>
      <c r="Q130" s="12" t="n">
        <f aca="false">IF(N130&lt;=2,1,0)</f>
        <v>0</v>
      </c>
      <c r="R130" s="12" t="n">
        <f aca="false">IF(N130&lt;=3,1,0)</f>
        <v>0</v>
      </c>
    </row>
    <row r="131" customFormat="false" ht="15" hidden="false" customHeight="false" outlineLevel="0" collapsed="false">
      <c r="A131" s="7" t="n">
        <v>2021</v>
      </c>
      <c r="B131" s="7" t="n">
        <v>10</v>
      </c>
      <c r="C131" s="8" t="s">
        <v>93</v>
      </c>
      <c r="D131" s="8" t="s">
        <v>69</v>
      </c>
      <c r="E131" s="7" t="n">
        <v>6</v>
      </c>
      <c r="F131" s="7" t="n">
        <v>8</v>
      </c>
      <c r="G131" s="7" t="n">
        <v>0</v>
      </c>
      <c r="H131" s="7" t="n">
        <v>14</v>
      </c>
      <c r="I131" s="8" t="str">
        <f aca="false">E131&amp;"-"&amp;F131&amp;"-"&amp;G131</f>
        <v>6-8-0</v>
      </c>
      <c r="J131" s="9" t="n">
        <f aca="false">(E131+0.5*G131)/H131</f>
        <v>0.428571428571429</v>
      </c>
      <c r="K131" s="10" t="n">
        <v>1459.8</v>
      </c>
      <c r="L131" s="11" t="n">
        <f aca="false">K131/H131</f>
        <v>104.271428571429</v>
      </c>
      <c r="M131" s="7" t="n">
        <f aca="false">SUMPRODUCT(($A$2:$A$181=A131)*($K$2:$K$181&gt;K131))+1</f>
        <v>7</v>
      </c>
      <c r="N131" s="7" t="n">
        <v>2</v>
      </c>
      <c r="O131" s="7" t="n">
        <f aca="false">IF(N131&lt;=6,1,0)</f>
        <v>1</v>
      </c>
      <c r="P131" s="7" t="n">
        <f aca="false">IF(N131=1,1,0)</f>
        <v>0</v>
      </c>
      <c r="Q131" s="7" t="n">
        <f aca="false">IF(N131&lt;=2,1,0)</f>
        <v>1</v>
      </c>
      <c r="R131" s="7" t="n">
        <f aca="false">IF(N131&lt;=3,1,0)</f>
        <v>1</v>
      </c>
    </row>
    <row r="132" customFormat="false" ht="15" hidden="false" customHeight="false" outlineLevel="0" collapsed="false">
      <c r="A132" s="12" t="n">
        <v>2021</v>
      </c>
      <c r="B132" s="12" t="n">
        <v>11</v>
      </c>
      <c r="C132" s="13" t="s">
        <v>76</v>
      </c>
      <c r="D132" s="13" t="s">
        <v>77</v>
      </c>
      <c r="E132" s="12" t="n">
        <v>6</v>
      </c>
      <c r="F132" s="12" t="n">
        <v>8</v>
      </c>
      <c r="G132" s="12" t="n">
        <v>0</v>
      </c>
      <c r="H132" s="12" t="n">
        <v>14</v>
      </c>
      <c r="I132" s="13" t="str">
        <f aca="false">E132&amp;"-"&amp;F132&amp;"-"&amp;G132</f>
        <v>6-8-0</v>
      </c>
      <c r="J132" s="14" t="n">
        <f aca="false">(E132+0.5*G132)/H132</f>
        <v>0.428571428571429</v>
      </c>
      <c r="K132" s="15" t="n">
        <v>1448.4</v>
      </c>
      <c r="L132" s="16" t="n">
        <f aca="false">K132/H132</f>
        <v>103.457142857143</v>
      </c>
      <c r="M132" s="12" t="n">
        <f aca="false">SUMPRODUCT(($A$2:$A$181=A132)*($K$2:$K$181&gt;K132))+1</f>
        <v>9</v>
      </c>
      <c r="N132" s="12" t="n">
        <v>12</v>
      </c>
      <c r="O132" s="12" t="n">
        <f aca="false">IF(N132&lt;=6,1,0)</f>
        <v>0</v>
      </c>
      <c r="P132" s="12" t="n">
        <f aca="false">IF(N132=1,1,0)</f>
        <v>0</v>
      </c>
      <c r="Q132" s="12" t="n">
        <f aca="false">IF(N132&lt;=2,1,0)</f>
        <v>0</v>
      </c>
      <c r="R132" s="12" t="n">
        <f aca="false">IF(N132&lt;=3,1,0)</f>
        <v>0</v>
      </c>
    </row>
    <row r="133" customFormat="false" ht="15" hidden="false" customHeight="false" outlineLevel="0" collapsed="false">
      <c r="A133" s="12" t="n">
        <v>2021</v>
      </c>
      <c r="B133" s="12" t="n">
        <v>12</v>
      </c>
      <c r="C133" s="13" t="s">
        <v>94</v>
      </c>
      <c r="D133" s="13" t="s">
        <v>85</v>
      </c>
      <c r="E133" s="12" t="n">
        <v>4</v>
      </c>
      <c r="F133" s="12" t="n">
        <v>10</v>
      </c>
      <c r="G133" s="12" t="n">
        <v>0</v>
      </c>
      <c r="H133" s="12" t="n">
        <v>14</v>
      </c>
      <c r="I133" s="13" t="str">
        <f aca="false">E133&amp;"-"&amp;F133&amp;"-"&amp;G133</f>
        <v>4-10-0</v>
      </c>
      <c r="J133" s="14" t="n">
        <f aca="false">(E133+0.5*G133)/H133</f>
        <v>0.285714285714286</v>
      </c>
      <c r="K133" s="15" t="n">
        <v>1436.68</v>
      </c>
      <c r="L133" s="16" t="n">
        <f aca="false">K133/H133</f>
        <v>102.62</v>
      </c>
      <c r="M133" s="12" t="n">
        <f aca="false">SUMPRODUCT(($A$2:$A$181=A133)*($K$2:$K$181&gt;K133))+1</f>
        <v>10</v>
      </c>
      <c r="N133" s="12" t="n">
        <v>11</v>
      </c>
      <c r="O133" s="12" t="n">
        <f aca="false">IF(N133&lt;=6,1,0)</f>
        <v>0</v>
      </c>
      <c r="P133" s="12" t="n">
        <f aca="false">IF(N133=1,1,0)</f>
        <v>0</v>
      </c>
      <c r="Q133" s="12" t="n">
        <f aca="false">IF(N133&lt;=2,1,0)</f>
        <v>0</v>
      </c>
      <c r="R133" s="12" t="n">
        <f aca="false">IF(N133&lt;=3,1,0)</f>
        <v>0</v>
      </c>
    </row>
    <row r="134" customFormat="false" ht="15" hidden="false" customHeight="false" outlineLevel="0" collapsed="false">
      <c r="A134" s="12" t="n">
        <v>2022</v>
      </c>
      <c r="B134" s="12" t="n">
        <v>1</v>
      </c>
      <c r="C134" s="13" t="s">
        <v>56</v>
      </c>
      <c r="D134" s="13" t="s">
        <v>57</v>
      </c>
      <c r="E134" s="12" t="n">
        <v>7</v>
      </c>
      <c r="F134" s="12" t="n">
        <v>7</v>
      </c>
      <c r="G134" s="12" t="n">
        <v>0</v>
      </c>
      <c r="H134" s="12" t="n">
        <v>14</v>
      </c>
      <c r="I134" s="13" t="str">
        <f aca="false">E134&amp;"-"&amp;F134&amp;"-"&amp;G134</f>
        <v>7-7-0</v>
      </c>
      <c r="J134" s="14" t="n">
        <f aca="false">(E134+0.5*G134)/H134</f>
        <v>0.5</v>
      </c>
      <c r="K134" s="15" t="n">
        <v>1485.66</v>
      </c>
      <c r="L134" s="16" t="n">
        <f aca="false">K134/H134</f>
        <v>106.118571428571</v>
      </c>
      <c r="M134" s="12" t="n">
        <f aca="false">SUMPRODUCT(($A$2:$A$181=A134)*($K$2:$K$181&gt;K134))+1</f>
        <v>7</v>
      </c>
      <c r="N134" s="12" t="n">
        <v>7</v>
      </c>
      <c r="O134" s="12" t="n">
        <f aca="false">IF(N134&lt;=6,1,0)</f>
        <v>0</v>
      </c>
      <c r="P134" s="12" t="n">
        <f aca="false">IF(N134=1,1,0)</f>
        <v>0</v>
      </c>
      <c r="Q134" s="12" t="n">
        <f aca="false">IF(N134&lt;=2,1,0)</f>
        <v>0</v>
      </c>
      <c r="R134" s="12" t="n">
        <f aca="false">IF(N134&lt;=3,1,0)</f>
        <v>0</v>
      </c>
    </row>
    <row r="135" customFormat="false" ht="15" hidden="false" customHeight="false" outlineLevel="0" collapsed="false">
      <c r="A135" s="7" t="n">
        <v>2022</v>
      </c>
      <c r="B135" s="7" t="n">
        <v>2</v>
      </c>
      <c r="C135" s="8" t="s">
        <v>95</v>
      </c>
      <c r="D135" s="8" t="s">
        <v>85</v>
      </c>
      <c r="E135" s="7" t="n">
        <v>7</v>
      </c>
      <c r="F135" s="7" t="n">
        <v>7</v>
      </c>
      <c r="G135" s="7" t="n">
        <v>0</v>
      </c>
      <c r="H135" s="7" t="n">
        <v>14</v>
      </c>
      <c r="I135" s="8" t="str">
        <f aca="false">E135&amp;"-"&amp;F135&amp;"-"&amp;G135</f>
        <v>7-7-0</v>
      </c>
      <c r="J135" s="9" t="n">
        <f aca="false">(E135+0.5*G135)/H135</f>
        <v>0.5</v>
      </c>
      <c r="K135" s="10" t="n">
        <v>1647.44</v>
      </c>
      <c r="L135" s="11" t="n">
        <f aca="false">K135/H135</f>
        <v>117.674285714286</v>
      </c>
      <c r="M135" s="7" t="n">
        <f aca="false">SUMPRODUCT(($A$2:$A$181=A135)*($K$2:$K$181&gt;K135))+1</f>
        <v>2</v>
      </c>
      <c r="N135" s="7" t="n">
        <v>3</v>
      </c>
      <c r="O135" s="7" t="n">
        <f aca="false">IF(N135&lt;=6,1,0)</f>
        <v>1</v>
      </c>
      <c r="P135" s="7" t="n">
        <f aca="false">IF(N135=1,1,0)</f>
        <v>0</v>
      </c>
      <c r="Q135" s="7" t="n">
        <f aca="false">IF(N135&lt;=2,1,0)</f>
        <v>0</v>
      </c>
      <c r="R135" s="7" t="n">
        <f aca="false">IF(N135&lt;=3,1,0)</f>
        <v>1</v>
      </c>
    </row>
    <row r="136" customFormat="false" ht="15" hidden="false" customHeight="false" outlineLevel="0" collapsed="false">
      <c r="A136" s="7" t="n">
        <v>2022</v>
      </c>
      <c r="B136" s="7" t="n">
        <v>3</v>
      </c>
      <c r="C136" s="8" t="s">
        <v>62</v>
      </c>
      <c r="D136" s="8" t="s">
        <v>63</v>
      </c>
      <c r="E136" s="7" t="n">
        <v>9</v>
      </c>
      <c r="F136" s="7" t="n">
        <v>5</v>
      </c>
      <c r="G136" s="7" t="n">
        <v>0</v>
      </c>
      <c r="H136" s="7" t="n">
        <v>14</v>
      </c>
      <c r="I136" s="8" t="str">
        <f aca="false">E136&amp;"-"&amp;F136&amp;"-"&amp;G136</f>
        <v>9-5-0</v>
      </c>
      <c r="J136" s="9" t="n">
        <f aca="false">(E136+0.5*G136)/H136</f>
        <v>0.642857142857143</v>
      </c>
      <c r="K136" s="10" t="n">
        <v>1393.86</v>
      </c>
      <c r="L136" s="11" t="n">
        <f aca="false">K136/H136</f>
        <v>99.5614285714286</v>
      </c>
      <c r="M136" s="7" t="n">
        <f aca="false">SUMPRODUCT(($A$2:$A$181=A136)*($K$2:$K$181&gt;K136))+1</f>
        <v>12</v>
      </c>
      <c r="N136" s="7" t="n">
        <v>4</v>
      </c>
      <c r="O136" s="7" t="n">
        <f aca="false">IF(N136&lt;=6,1,0)</f>
        <v>1</v>
      </c>
      <c r="P136" s="7" t="n">
        <f aca="false">IF(N136=1,1,0)</f>
        <v>0</v>
      </c>
      <c r="Q136" s="7" t="n">
        <f aca="false">IF(N136&lt;=2,1,0)</f>
        <v>0</v>
      </c>
      <c r="R136" s="7" t="n">
        <f aca="false">IF(N136&lt;=3,1,0)</f>
        <v>0</v>
      </c>
    </row>
    <row r="137" customFormat="false" ht="15" hidden="false" customHeight="false" outlineLevel="0" collapsed="false">
      <c r="A137" s="7" t="n">
        <v>2022</v>
      </c>
      <c r="B137" s="7" t="n">
        <v>4</v>
      </c>
      <c r="C137" s="8" t="s">
        <v>72</v>
      </c>
      <c r="D137" s="8" t="s">
        <v>73</v>
      </c>
      <c r="E137" s="7" t="n">
        <v>8</v>
      </c>
      <c r="F137" s="7" t="n">
        <v>6</v>
      </c>
      <c r="G137" s="7" t="n">
        <v>0</v>
      </c>
      <c r="H137" s="7" t="n">
        <v>14</v>
      </c>
      <c r="I137" s="8" t="str">
        <f aca="false">E137&amp;"-"&amp;F137&amp;"-"&amp;G137</f>
        <v>8-6-0</v>
      </c>
      <c r="J137" s="9" t="n">
        <f aca="false">(E137+0.5*G137)/H137</f>
        <v>0.571428571428571</v>
      </c>
      <c r="K137" s="10" t="n">
        <v>1561.26</v>
      </c>
      <c r="L137" s="11" t="n">
        <f aca="false">K137/H137</f>
        <v>111.518571428571</v>
      </c>
      <c r="M137" s="7" t="n">
        <f aca="false">SUMPRODUCT(($A$2:$A$181=A137)*($K$2:$K$181&gt;K137))+1</f>
        <v>4</v>
      </c>
      <c r="N137" s="7" t="n">
        <v>6</v>
      </c>
      <c r="O137" s="7" t="n">
        <f aca="false">IF(N137&lt;=6,1,0)</f>
        <v>1</v>
      </c>
      <c r="P137" s="7" t="n">
        <f aca="false">IF(N137=1,1,0)</f>
        <v>0</v>
      </c>
      <c r="Q137" s="7" t="n">
        <f aca="false">IF(N137&lt;=2,1,0)</f>
        <v>0</v>
      </c>
      <c r="R137" s="7" t="n">
        <f aca="false">IF(N137&lt;=3,1,0)</f>
        <v>0</v>
      </c>
    </row>
    <row r="138" customFormat="false" ht="15" hidden="false" customHeight="false" outlineLevel="0" collapsed="false">
      <c r="A138" s="7" t="n">
        <v>2022</v>
      </c>
      <c r="B138" s="7" t="n">
        <v>5</v>
      </c>
      <c r="C138" s="8" t="s">
        <v>96</v>
      </c>
      <c r="D138" s="8" t="s">
        <v>97</v>
      </c>
      <c r="E138" s="7" t="n">
        <v>7</v>
      </c>
      <c r="F138" s="7" t="n">
        <v>7</v>
      </c>
      <c r="G138" s="7" t="n">
        <v>0</v>
      </c>
      <c r="H138" s="7" t="n">
        <v>14</v>
      </c>
      <c r="I138" s="8" t="str">
        <f aca="false">E138&amp;"-"&amp;F138&amp;"-"&amp;G138</f>
        <v>7-7-0</v>
      </c>
      <c r="J138" s="9" t="n">
        <f aca="false">(E138+0.5*G138)/H138</f>
        <v>0.5</v>
      </c>
      <c r="K138" s="10" t="n">
        <v>1524.92</v>
      </c>
      <c r="L138" s="11" t="n">
        <f aca="false">K138/H138</f>
        <v>108.922857142857</v>
      </c>
      <c r="M138" s="7" t="n">
        <f aca="false">SUMPRODUCT(($A$2:$A$181=A138)*($K$2:$K$181&gt;K138))+1</f>
        <v>5</v>
      </c>
      <c r="N138" s="7" t="n">
        <v>5</v>
      </c>
      <c r="O138" s="7" t="n">
        <f aca="false">IF(N138&lt;=6,1,0)</f>
        <v>1</v>
      </c>
      <c r="P138" s="7" t="n">
        <f aca="false">IF(N138=1,1,0)</f>
        <v>0</v>
      </c>
      <c r="Q138" s="7" t="n">
        <f aca="false">IF(N138&lt;=2,1,0)</f>
        <v>0</v>
      </c>
      <c r="R138" s="7" t="n">
        <f aca="false">IF(N138&lt;=3,1,0)</f>
        <v>0</v>
      </c>
    </row>
    <row r="139" customFormat="false" ht="15" hidden="false" customHeight="false" outlineLevel="0" collapsed="false">
      <c r="A139" s="12" t="n">
        <v>2022</v>
      </c>
      <c r="B139" s="12" t="n">
        <v>6</v>
      </c>
      <c r="C139" s="13" t="s">
        <v>66</v>
      </c>
      <c r="D139" s="13" t="s">
        <v>67</v>
      </c>
      <c r="E139" s="12" t="n">
        <v>5</v>
      </c>
      <c r="F139" s="12" t="n">
        <v>9</v>
      </c>
      <c r="G139" s="12" t="n">
        <v>0</v>
      </c>
      <c r="H139" s="12" t="n">
        <v>14</v>
      </c>
      <c r="I139" s="13" t="str">
        <f aca="false">E139&amp;"-"&amp;F139&amp;"-"&amp;G139</f>
        <v>5-9-0</v>
      </c>
      <c r="J139" s="14" t="n">
        <f aca="false">(E139+0.5*G139)/H139</f>
        <v>0.357142857142857</v>
      </c>
      <c r="K139" s="15" t="n">
        <v>1436.36</v>
      </c>
      <c r="L139" s="16" t="n">
        <f aca="false">K139/H139</f>
        <v>102.597142857143</v>
      </c>
      <c r="M139" s="12" t="n">
        <f aca="false">SUMPRODUCT(($A$2:$A$181=A139)*($K$2:$K$181&gt;K139))+1</f>
        <v>8</v>
      </c>
      <c r="N139" s="12" t="n">
        <v>10</v>
      </c>
      <c r="O139" s="12" t="n">
        <f aca="false">IF(N139&lt;=6,1,0)</f>
        <v>0</v>
      </c>
      <c r="P139" s="12" t="n">
        <f aca="false">IF(N139=1,1,0)</f>
        <v>0</v>
      </c>
      <c r="Q139" s="12" t="n">
        <f aca="false">IF(N139&lt;=2,1,0)</f>
        <v>0</v>
      </c>
      <c r="R139" s="12" t="n">
        <f aca="false">IF(N139&lt;=3,1,0)</f>
        <v>0</v>
      </c>
    </row>
    <row r="140" customFormat="false" ht="15" hidden="false" customHeight="false" outlineLevel="0" collapsed="false">
      <c r="A140" s="12" t="n">
        <v>2022</v>
      </c>
      <c r="B140" s="12" t="n">
        <v>7</v>
      </c>
      <c r="C140" s="13" t="s">
        <v>91</v>
      </c>
      <c r="D140" s="13" t="s">
        <v>92</v>
      </c>
      <c r="E140" s="12" t="n">
        <v>5</v>
      </c>
      <c r="F140" s="12" t="n">
        <v>9</v>
      </c>
      <c r="G140" s="12" t="n">
        <v>0</v>
      </c>
      <c r="H140" s="12" t="n">
        <v>14</v>
      </c>
      <c r="I140" s="13" t="str">
        <f aca="false">E140&amp;"-"&amp;F140&amp;"-"&amp;G140</f>
        <v>5-9-0</v>
      </c>
      <c r="J140" s="14" t="n">
        <f aca="false">(E140+0.5*G140)/H140</f>
        <v>0.357142857142857</v>
      </c>
      <c r="K140" s="15" t="n">
        <v>1394.4</v>
      </c>
      <c r="L140" s="16" t="n">
        <f aca="false">K140/H140</f>
        <v>99.6</v>
      </c>
      <c r="M140" s="12" t="n">
        <f aca="false">SUMPRODUCT(($A$2:$A$181=A140)*($K$2:$K$181&gt;K140))+1</f>
        <v>11</v>
      </c>
      <c r="N140" s="12" t="n">
        <v>12</v>
      </c>
      <c r="O140" s="12" t="n">
        <f aca="false">IF(N140&lt;=6,1,0)</f>
        <v>0</v>
      </c>
      <c r="P140" s="12" t="n">
        <f aca="false">IF(N140=1,1,0)</f>
        <v>0</v>
      </c>
      <c r="Q140" s="12" t="n">
        <f aca="false">IF(N140&lt;=2,1,0)</f>
        <v>0</v>
      </c>
      <c r="R140" s="12" t="n">
        <f aca="false">IF(N140&lt;=3,1,0)</f>
        <v>0</v>
      </c>
    </row>
    <row r="141" customFormat="false" ht="15" hidden="false" customHeight="false" outlineLevel="0" collapsed="false">
      <c r="A141" s="7" t="n">
        <v>2022</v>
      </c>
      <c r="B141" s="7" t="n">
        <v>8</v>
      </c>
      <c r="C141" s="8" t="s">
        <v>98</v>
      </c>
      <c r="D141" s="8" t="s">
        <v>59</v>
      </c>
      <c r="E141" s="7" t="n">
        <v>12</v>
      </c>
      <c r="F141" s="7" t="n">
        <v>2</v>
      </c>
      <c r="G141" s="7" t="n">
        <v>0</v>
      </c>
      <c r="H141" s="7" t="n">
        <v>14</v>
      </c>
      <c r="I141" s="8" t="str">
        <f aca="false">E141&amp;"-"&amp;F141&amp;"-"&amp;G141</f>
        <v>12-2-0</v>
      </c>
      <c r="J141" s="9" t="n">
        <f aca="false">(E141+0.5*G141)/H141</f>
        <v>0.857142857142857</v>
      </c>
      <c r="K141" s="10" t="n">
        <v>1650.12</v>
      </c>
      <c r="L141" s="11" t="n">
        <f aca="false">K141/H141</f>
        <v>117.865714285714</v>
      </c>
      <c r="M141" s="7" t="n">
        <f aca="false">SUMPRODUCT(($A$2:$A$181=A141)*($K$2:$K$181&gt;K141))+1</f>
        <v>1</v>
      </c>
      <c r="N141" s="7" t="n">
        <v>1</v>
      </c>
      <c r="O141" s="7" t="n">
        <f aca="false">IF(N141&lt;=6,1,0)</f>
        <v>1</v>
      </c>
      <c r="P141" s="7" t="n">
        <f aca="false">IF(N141=1,1,0)</f>
        <v>1</v>
      </c>
      <c r="Q141" s="7" t="n">
        <f aca="false">IF(N141&lt;=2,1,0)</f>
        <v>1</v>
      </c>
      <c r="R141" s="7" t="n">
        <f aca="false">IF(N141&lt;=3,1,0)</f>
        <v>1</v>
      </c>
    </row>
    <row r="142" customFormat="false" ht="15" hidden="false" customHeight="false" outlineLevel="0" collapsed="false">
      <c r="A142" s="12" t="n">
        <v>2022</v>
      </c>
      <c r="B142" s="12" t="n">
        <v>9</v>
      </c>
      <c r="C142" s="13" t="s">
        <v>93</v>
      </c>
      <c r="D142" s="13" t="s">
        <v>69</v>
      </c>
      <c r="E142" s="12" t="n">
        <v>7</v>
      </c>
      <c r="F142" s="12" t="n">
        <v>7</v>
      </c>
      <c r="G142" s="12" t="n">
        <v>0</v>
      </c>
      <c r="H142" s="12" t="n">
        <v>14</v>
      </c>
      <c r="I142" s="13" t="str">
        <f aca="false">E142&amp;"-"&amp;F142&amp;"-"&amp;G142</f>
        <v>7-7-0</v>
      </c>
      <c r="J142" s="14" t="n">
        <f aca="false">(E142+0.5*G142)/H142</f>
        <v>0.5</v>
      </c>
      <c r="K142" s="15" t="n">
        <v>1506.78</v>
      </c>
      <c r="L142" s="16" t="n">
        <f aca="false">K142/H142</f>
        <v>107.627142857143</v>
      </c>
      <c r="M142" s="12" t="n">
        <f aca="false">SUMPRODUCT(($A$2:$A$181=A142)*($K$2:$K$181&gt;K142))+1</f>
        <v>6</v>
      </c>
      <c r="N142" s="12" t="n">
        <v>8</v>
      </c>
      <c r="O142" s="12" t="n">
        <f aca="false">IF(N142&lt;=6,1,0)</f>
        <v>0</v>
      </c>
      <c r="P142" s="12" t="n">
        <f aca="false">IF(N142=1,1,0)</f>
        <v>0</v>
      </c>
      <c r="Q142" s="12" t="n">
        <f aca="false">IF(N142&lt;=2,1,0)</f>
        <v>0</v>
      </c>
      <c r="R142" s="12" t="n">
        <f aca="false">IF(N142&lt;=3,1,0)</f>
        <v>0</v>
      </c>
    </row>
    <row r="143" customFormat="false" ht="15" hidden="false" customHeight="false" outlineLevel="0" collapsed="false">
      <c r="A143" s="12" t="n">
        <v>2022</v>
      </c>
      <c r="B143" s="12" t="n">
        <v>10</v>
      </c>
      <c r="C143" s="13" t="s">
        <v>54</v>
      </c>
      <c r="D143" s="13" t="s">
        <v>55</v>
      </c>
      <c r="E143" s="12" t="n">
        <v>5</v>
      </c>
      <c r="F143" s="12" t="n">
        <v>9</v>
      </c>
      <c r="G143" s="12" t="n">
        <v>0</v>
      </c>
      <c r="H143" s="12" t="n">
        <v>14</v>
      </c>
      <c r="I143" s="13" t="str">
        <f aca="false">E143&amp;"-"&amp;F143&amp;"-"&amp;G143</f>
        <v>5-9-0</v>
      </c>
      <c r="J143" s="14" t="n">
        <f aca="false">(E143+0.5*G143)/H143</f>
        <v>0.357142857142857</v>
      </c>
      <c r="K143" s="15" t="n">
        <v>1424.18</v>
      </c>
      <c r="L143" s="16" t="n">
        <f aca="false">K143/H143</f>
        <v>101.727142857143</v>
      </c>
      <c r="M143" s="12" t="n">
        <f aca="false">SUMPRODUCT(($A$2:$A$181=A143)*($K$2:$K$181&gt;K143))+1</f>
        <v>10</v>
      </c>
      <c r="N143" s="12" t="n">
        <v>9</v>
      </c>
      <c r="O143" s="12" t="n">
        <f aca="false">IF(N143&lt;=6,1,0)</f>
        <v>0</v>
      </c>
      <c r="P143" s="12" t="n">
        <f aca="false">IF(N143=1,1,0)</f>
        <v>0</v>
      </c>
      <c r="Q143" s="12" t="n">
        <f aca="false">IF(N143&lt;=2,1,0)</f>
        <v>0</v>
      </c>
      <c r="R143" s="12" t="n">
        <f aca="false">IF(N143&lt;=3,1,0)</f>
        <v>0</v>
      </c>
    </row>
    <row r="144" customFormat="false" ht="15" hidden="false" customHeight="false" outlineLevel="0" collapsed="false">
      <c r="A144" s="12" t="n">
        <v>2022</v>
      </c>
      <c r="B144" s="12" t="n">
        <v>11</v>
      </c>
      <c r="C144" s="13" t="s">
        <v>64</v>
      </c>
      <c r="D144" s="13" t="s">
        <v>65</v>
      </c>
      <c r="E144" s="12" t="n">
        <v>5</v>
      </c>
      <c r="F144" s="12" t="n">
        <v>9</v>
      </c>
      <c r="G144" s="12" t="n">
        <v>0</v>
      </c>
      <c r="H144" s="12" t="n">
        <v>14</v>
      </c>
      <c r="I144" s="13" t="str">
        <f aca="false">E144&amp;"-"&amp;F144&amp;"-"&amp;G144</f>
        <v>5-9-0</v>
      </c>
      <c r="J144" s="14" t="n">
        <f aca="false">(E144+0.5*G144)/H144</f>
        <v>0.357142857142857</v>
      </c>
      <c r="K144" s="15" t="n">
        <v>1430.94</v>
      </c>
      <c r="L144" s="16" t="n">
        <f aca="false">K144/H144</f>
        <v>102.21</v>
      </c>
      <c r="M144" s="12" t="n">
        <f aca="false">SUMPRODUCT(($A$2:$A$181=A144)*($K$2:$K$181&gt;K144))+1</f>
        <v>9</v>
      </c>
      <c r="N144" s="12" t="n">
        <v>11</v>
      </c>
      <c r="O144" s="12" t="n">
        <f aca="false">IF(N144&lt;=6,1,0)</f>
        <v>0</v>
      </c>
      <c r="P144" s="12" t="n">
        <f aca="false">IF(N144=1,1,0)</f>
        <v>0</v>
      </c>
      <c r="Q144" s="12" t="n">
        <f aca="false">IF(N144&lt;=2,1,0)</f>
        <v>0</v>
      </c>
      <c r="R144" s="12" t="n">
        <f aca="false">IF(N144&lt;=3,1,0)</f>
        <v>0</v>
      </c>
    </row>
    <row r="145" customFormat="false" ht="15" hidden="false" customHeight="false" outlineLevel="0" collapsed="false">
      <c r="A145" s="7" t="n">
        <v>2022</v>
      </c>
      <c r="B145" s="7" t="n">
        <v>12</v>
      </c>
      <c r="C145" s="8" t="s">
        <v>99</v>
      </c>
      <c r="D145" s="8" t="s">
        <v>61</v>
      </c>
      <c r="E145" s="7" t="n">
        <v>7</v>
      </c>
      <c r="F145" s="7" t="n">
        <v>7</v>
      </c>
      <c r="G145" s="7" t="n">
        <v>0</v>
      </c>
      <c r="H145" s="7" t="n">
        <v>14</v>
      </c>
      <c r="I145" s="8" t="str">
        <f aca="false">E145&amp;"-"&amp;F145&amp;"-"&amp;G145</f>
        <v>7-7-0</v>
      </c>
      <c r="J145" s="9" t="n">
        <f aca="false">(E145+0.5*G145)/H145</f>
        <v>0.5</v>
      </c>
      <c r="K145" s="10" t="n">
        <v>1593.38</v>
      </c>
      <c r="L145" s="11" t="n">
        <f aca="false">K145/H145</f>
        <v>113.812857142857</v>
      </c>
      <c r="M145" s="7" t="n">
        <f aca="false">SUMPRODUCT(($A$2:$A$181=A145)*($K$2:$K$181&gt;K145))+1</f>
        <v>3</v>
      </c>
      <c r="N145" s="7" t="n">
        <v>2</v>
      </c>
      <c r="O145" s="7" t="n">
        <f aca="false">IF(N145&lt;=6,1,0)</f>
        <v>1</v>
      </c>
      <c r="P145" s="7" t="n">
        <f aca="false">IF(N145=1,1,0)</f>
        <v>0</v>
      </c>
      <c r="Q145" s="7" t="n">
        <f aca="false">IF(N145&lt;=2,1,0)</f>
        <v>1</v>
      </c>
      <c r="R145" s="7" t="n">
        <f aca="false">IF(N145&lt;=3,1,0)</f>
        <v>1</v>
      </c>
    </row>
    <row r="146" customFormat="false" ht="15" hidden="false" customHeight="false" outlineLevel="0" collapsed="false">
      <c r="A146" s="12" t="n">
        <v>2023</v>
      </c>
      <c r="B146" s="12" t="n">
        <v>1</v>
      </c>
      <c r="C146" s="13" t="s">
        <v>56</v>
      </c>
      <c r="D146" s="13" t="s">
        <v>57</v>
      </c>
      <c r="E146" s="12" t="n">
        <v>6</v>
      </c>
      <c r="F146" s="12" t="n">
        <v>8</v>
      </c>
      <c r="G146" s="12" t="n">
        <v>0</v>
      </c>
      <c r="H146" s="12" t="n">
        <v>14</v>
      </c>
      <c r="I146" s="13" t="str">
        <f aca="false">E146&amp;"-"&amp;F146&amp;"-"&amp;G146</f>
        <v>6-8-0</v>
      </c>
      <c r="J146" s="14" t="n">
        <f aca="false">(E146+0.5*G146)/H146</f>
        <v>0.428571428571429</v>
      </c>
      <c r="K146" s="15" t="n">
        <v>1456.8</v>
      </c>
      <c r="L146" s="16" t="n">
        <f aca="false">K146/H146</f>
        <v>104.057142857143</v>
      </c>
      <c r="M146" s="12" t="n">
        <f aca="false">SUMPRODUCT(($A$2:$A$181=A146)*($K$2:$K$181&gt;K146))+1</f>
        <v>8</v>
      </c>
      <c r="N146" s="12" t="n">
        <v>7</v>
      </c>
      <c r="O146" s="12" t="n">
        <f aca="false">IF(N146&lt;=6,1,0)</f>
        <v>0</v>
      </c>
      <c r="P146" s="12" t="n">
        <f aca="false">IF(N146=1,1,0)</f>
        <v>0</v>
      </c>
      <c r="Q146" s="12" t="n">
        <f aca="false">IF(N146&lt;=2,1,0)</f>
        <v>0</v>
      </c>
      <c r="R146" s="12" t="n">
        <f aca="false">IF(N146&lt;=3,1,0)</f>
        <v>0</v>
      </c>
    </row>
    <row r="147" customFormat="false" ht="15" hidden="false" customHeight="false" outlineLevel="0" collapsed="false">
      <c r="A147" s="12" t="n">
        <v>2023</v>
      </c>
      <c r="B147" s="12" t="n">
        <v>2</v>
      </c>
      <c r="C147" s="13" t="s">
        <v>58</v>
      </c>
      <c r="D147" s="13" t="s">
        <v>59</v>
      </c>
      <c r="E147" s="12" t="n">
        <v>4</v>
      </c>
      <c r="F147" s="12" t="n">
        <v>10</v>
      </c>
      <c r="G147" s="12" t="n">
        <v>0</v>
      </c>
      <c r="H147" s="12" t="n">
        <v>14</v>
      </c>
      <c r="I147" s="13" t="str">
        <f aca="false">E147&amp;"-"&amp;F147&amp;"-"&amp;G147</f>
        <v>4-10-0</v>
      </c>
      <c r="J147" s="14" t="n">
        <f aca="false">(E147+0.5*G147)/H147</f>
        <v>0.285714285714286</v>
      </c>
      <c r="K147" s="15" t="n">
        <v>1312.3</v>
      </c>
      <c r="L147" s="16" t="n">
        <f aca="false">K147/H147</f>
        <v>93.7357142857143</v>
      </c>
      <c r="M147" s="12" t="n">
        <f aca="false">SUMPRODUCT(($A$2:$A$181=A147)*($K$2:$K$181&gt;K147))+1</f>
        <v>11</v>
      </c>
      <c r="N147" s="12" t="n">
        <v>11</v>
      </c>
      <c r="O147" s="12" t="n">
        <f aca="false">IF(N147&lt;=6,1,0)</f>
        <v>0</v>
      </c>
      <c r="P147" s="12" t="n">
        <f aca="false">IF(N147=1,1,0)</f>
        <v>0</v>
      </c>
      <c r="Q147" s="12" t="n">
        <f aca="false">IF(N147&lt;=2,1,0)</f>
        <v>0</v>
      </c>
      <c r="R147" s="12" t="n">
        <f aca="false">IF(N147&lt;=3,1,0)</f>
        <v>0</v>
      </c>
    </row>
    <row r="148" customFormat="false" ht="15" hidden="false" customHeight="false" outlineLevel="0" collapsed="false">
      <c r="A148" s="7" t="n">
        <v>2023</v>
      </c>
      <c r="B148" s="7" t="n">
        <v>3</v>
      </c>
      <c r="C148" s="8" t="s">
        <v>66</v>
      </c>
      <c r="D148" s="8" t="s">
        <v>67</v>
      </c>
      <c r="E148" s="7" t="n">
        <v>7</v>
      </c>
      <c r="F148" s="7" t="n">
        <v>7</v>
      </c>
      <c r="G148" s="7" t="n">
        <v>0</v>
      </c>
      <c r="H148" s="7" t="n">
        <v>14</v>
      </c>
      <c r="I148" s="8" t="str">
        <f aca="false">E148&amp;"-"&amp;F148&amp;"-"&amp;G148</f>
        <v>7-7-0</v>
      </c>
      <c r="J148" s="9" t="n">
        <f aca="false">(E148+0.5*G148)/H148</f>
        <v>0.5</v>
      </c>
      <c r="K148" s="10" t="n">
        <v>1514.86</v>
      </c>
      <c r="L148" s="11" t="n">
        <f aca="false">K148/H148</f>
        <v>108.204285714286</v>
      </c>
      <c r="M148" s="7" t="n">
        <f aca="false">SUMPRODUCT(($A$2:$A$181=A148)*($K$2:$K$181&gt;K148))+1</f>
        <v>6</v>
      </c>
      <c r="N148" s="7" t="n">
        <v>6</v>
      </c>
      <c r="O148" s="7" t="n">
        <f aca="false">IF(N148&lt;=6,1,0)</f>
        <v>1</v>
      </c>
      <c r="P148" s="7" t="n">
        <f aca="false">IF(N148=1,1,0)</f>
        <v>0</v>
      </c>
      <c r="Q148" s="7" t="n">
        <f aca="false">IF(N148&lt;=2,1,0)</f>
        <v>0</v>
      </c>
      <c r="R148" s="7" t="n">
        <f aca="false">IF(N148&lt;=3,1,0)</f>
        <v>0</v>
      </c>
    </row>
    <row r="149" customFormat="false" ht="15" hidden="false" customHeight="false" outlineLevel="0" collapsed="false">
      <c r="A149" s="12" t="n">
        <v>2023</v>
      </c>
      <c r="B149" s="12" t="n">
        <v>4</v>
      </c>
      <c r="C149" s="13" t="s">
        <v>54</v>
      </c>
      <c r="D149" s="13" t="s">
        <v>55</v>
      </c>
      <c r="E149" s="12" t="n">
        <v>5</v>
      </c>
      <c r="F149" s="12" t="n">
        <v>9</v>
      </c>
      <c r="G149" s="12" t="n">
        <v>0</v>
      </c>
      <c r="H149" s="12" t="n">
        <v>14</v>
      </c>
      <c r="I149" s="13" t="str">
        <f aca="false">E149&amp;"-"&amp;F149&amp;"-"&amp;G149</f>
        <v>5-9-0</v>
      </c>
      <c r="J149" s="14" t="n">
        <f aca="false">(E149+0.5*G149)/H149</f>
        <v>0.357142857142857</v>
      </c>
      <c r="K149" s="15" t="n">
        <v>1303.02</v>
      </c>
      <c r="L149" s="16" t="n">
        <f aca="false">K149/H149</f>
        <v>93.0728571428572</v>
      </c>
      <c r="M149" s="12" t="n">
        <f aca="false">SUMPRODUCT(($A$2:$A$181=A149)*($K$2:$K$181&gt;K149))+1</f>
        <v>12</v>
      </c>
      <c r="N149" s="12" t="n">
        <v>10</v>
      </c>
      <c r="O149" s="12" t="n">
        <f aca="false">IF(N149&lt;=6,1,0)</f>
        <v>0</v>
      </c>
      <c r="P149" s="12" t="n">
        <f aca="false">IF(N149=1,1,0)</f>
        <v>0</v>
      </c>
      <c r="Q149" s="12" t="n">
        <f aca="false">IF(N149&lt;=2,1,0)</f>
        <v>0</v>
      </c>
      <c r="R149" s="12" t="n">
        <f aca="false">IF(N149&lt;=3,1,0)</f>
        <v>0</v>
      </c>
    </row>
    <row r="150" customFormat="false" ht="15" hidden="false" customHeight="false" outlineLevel="0" collapsed="false">
      <c r="A150" s="7" t="n">
        <v>2023</v>
      </c>
      <c r="B150" s="7" t="n">
        <v>5</v>
      </c>
      <c r="C150" s="8" t="s">
        <v>100</v>
      </c>
      <c r="D150" s="8" t="s">
        <v>69</v>
      </c>
      <c r="E150" s="7" t="n">
        <v>12</v>
      </c>
      <c r="F150" s="7" t="n">
        <v>2</v>
      </c>
      <c r="G150" s="7" t="n">
        <v>0</v>
      </c>
      <c r="H150" s="7" t="n">
        <v>14</v>
      </c>
      <c r="I150" s="8" t="str">
        <f aca="false">E150&amp;"-"&amp;F150&amp;"-"&amp;G150</f>
        <v>12-2-0</v>
      </c>
      <c r="J150" s="9" t="n">
        <f aca="false">(E150+0.5*G150)/H150</f>
        <v>0.857142857142857</v>
      </c>
      <c r="K150" s="10" t="n">
        <v>1725.64</v>
      </c>
      <c r="L150" s="11" t="n">
        <f aca="false">K150/H150</f>
        <v>123.26</v>
      </c>
      <c r="M150" s="7" t="n">
        <f aca="false">SUMPRODUCT(($A$2:$A$181=A150)*($K$2:$K$181&gt;K150))+1</f>
        <v>1</v>
      </c>
      <c r="N150" s="7" t="n">
        <v>2</v>
      </c>
      <c r="O150" s="7" t="n">
        <f aca="false">IF(N150&lt;=6,1,0)</f>
        <v>1</v>
      </c>
      <c r="P150" s="7" t="n">
        <f aca="false">IF(N150=1,1,0)</f>
        <v>0</v>
      </c>
      <c r="Q150" s="7" t="n">
        <f aca="false">IF(N150&lt;=2,1,0)</f>
        <v>1</v>
      </c>
      <c r="R150" s="7" t="n">
        <f aca="false">IF(N150&lt;=3,1,0)</f>
        <v>1</v>
      </c>
    </row>
    <row r="151" customFormat="false" ht="15" hidden="false" customHeight="false" outlineLevel="0" collapsed="false">
      <c r="A151" s="12" t="n">
        <v>2023</v>
      </c>
      <c r="B151" s="12" t="n">
        <v>6</v>
      </c>
      <c r="C151" s="13" t="s">
        <v>101</v>
      </c>
      <c r="D151" s="13" t="s">
        <v>61</v>
      </c>
      <c r="E151" s="12" t="n">
        <v>6</v>
      </c>
      <c r="F151" s="12" t="n">
        <v>8</v>
      </c>
      <c r="G151" s="12" t="n">
        <v>0</v>
      </c>
      <c r="H151" s="12" t="n">
        <v>14</v>
      </c>
      <c r="I151" s="13" t="str">
        <f aca="false">E151&amp;"-"&amp;F151&amp;"-"&amp;G151</f>
        <v>6-8-0</v>
      </c>
      <c r="J151" s="14" t="n">
        <f aca="false">(E151+0.5*G151)/H151</f>
        <v>0.428571428571429</v>
      </c>
      <c r="K151" s="15" t="n">
        <v>1522.18</v>
      </c>
      <c r="L151" s="16" t="n">
        <f aca="false">K151/H151</f>
        <v>108.727142857143</v>
      </c>
      <c r="M151" s="12" t="n">
        <f aca="false">SUMPRODUCT(($A$2:$A$181=A151)*($K$2:$K$181&gt;K151))+1</f>
        <v>5</v>
      </c>
      <c r="N151" s="12" t="n">
        <v>8</v>
      </c>
      <c r="O151" s="12" t="n">
        <f aca="false">IF(N151&lt;=6,1,0)</f>
        <v>0</v>
      </c>
      <c r="P151" s="12" t="n">
        <f aca="false">IF(N151=1,1,0)</f>
        <v>0</v>
      </c>
      <c r="Q151" s="12" t="n">
        <f aca="false">IF(N151&lt;=2,1,0)</f>
        <v>0</v>
      </c>
      <c r="R151" s="12" t="n">
        <f aca="false">IF(N151&lt;=3,1,0)</f>
        <v>0</v>
      </c>
    </row>
    <row r="152" customFormat="false" ht="15" hidden="false" customHeight="false" outlineLevel="0" collapsed="false">
      <c r="A152" s="12" t="n">
        <v>2023</v>
      </c>
      <c r="B152" s="12" t="n">
        <v>7</v>
      </c>
      <c r="C152" s="13" t="s">
        <v>91</v>
      </c>
      <c r="D152" s="13" t="s">
        <v>92</v>
      </c>
      <c r="E152" s="12" t="n">
        <v>6</v>
      </c>
      <c r="F152" s="12" t="n">
        <v>8</v>
      </c>
      <c r="G152" s="12" t="n">
        <v>0</v>
      </c>
      <c r="H152" s="12" t="n">
        <v>14</v>
      </c>
      <c r="I152" s="13" t="str">
        <f aca="false">E152&amp;"-"&amp;F152&amp;"-"&amp;G152</f>
        <v>6-8-0</v>
      </c>
      <c r="J152" s="14" t="n">
        <f aca="false">(E152+0.5*G152)/H152</f>
        <v>0.428571428571429</v>
      </c>
      <c r="K152" s="15" t="n">
        <v>1426.06</v>
      </c>
      <c r="L152" s="16" t="n">
        <f aca="false">K152/H152</f>
        <v>101.861428571429</v>
      </c>
      <c r="M152" s="12" t="n">
        <f aca="false">SUMPRODUCT(($A$2:$A$181=A152)*($K$2:$K$181&gt;K152))+1</f>
        <v>9</v>
      </c>
      <c r="N152" s="12" t="n">
        <v>9</v>
      </c>
      <c r="O152" s="12" t="n">
        <f aca="false">IF(N152&lt;=6,1,0)</f>
        <v>0</v>
      </c>
      <c r="P152" s="12" t="n">
        <f aca="false">IF(N152=1,1,0)</f>
        <v>0</v>
      </c>
      <c r="Q152" s="12" t="n">
        <f aca="false">IF(N152&lt;=2,1,0)</f>
        <v>0</v>
      </c>
      <c r="R152" s="12" t="n">
        <f aca="false">IF(N152&lt;=3,1,0)</f>
        <v>0</v>
      </c>
    </row>
    <row r="153" customFormat="false" ht="15" hidden="false" customHeight="false" outlineLevel="0" collapsed="false">
      <c r="A153" s="12" t="n">
        <v>2023</v>
      </c>
      <c r="B153" s="12" t="n">
        <v>8</v>
      </c>
      <c r="C153" s="13" t="s">
        <v>102</v>
      </c>
      <c r="D153" s="13" t="s">
        <v>97</v>
      </c>
      <c r="E153" s="12" t="n">
        <v>4</v>
      </c>
      <c r="F153" s="12" t="n">
        <v>10</v>
      </c>
      <c r="G153" s="12" t="n">
        <v>0</v>
      </c>
      <c r="H153" s="12" t="n">
        <v>14</v>
      </c>
      <c r="I153" s="13" t="str">
        <f aca="false">E153&amp;"-"&amp;F153&amp;"-"&amp;G153</f>
        <v>4-10-0</v>
      </c>
      <c r="J153" s="14" t="n">
        <f aca="false">(E153+0.5*G153)/H153</f>
        <v>0.285714285714286</v>
      </c>
      <c r="K153" s="15" t="n">
        <v>1358.58</v>
      </c>
      <c r="L153" s="16" t="n">
        <f aca="false">K153/H153</f>
        <v>97.0414285714286</v>
      </c>
      <c r="M153" s="12" t="n">
        <f aca="false">SUMPRODUCT(($A$2:$A$181=A153)*($K$2:$K$181&gt;K153))+1</f>
        <v>10</v>
      </c>
      <c r="N153" s="12" t="n">
        <v>12</v>
      </c>
      <c r="O153" s="12" t="n">
        <f aca="false">IF(N153&lt;=6,1,0)</f>
        <v>0</v>
      </c>
      <c r="P153" s="12" t="n">
        <f aca="false">IF(N153=1,1,0)</f>
        <v>0</v>
      </c>
      <c r="Q153" s="12" t="n">
        <f aca="false">IF(N153&lt;=2,1,0)</f>
        <v>0</v>
      </c>
      <c r="R153" s="12" t="n">
        <f aca="false">IF(N153&lt;=3,1,0)</f>
        <v>0</v>
      </c>
    </row>
    <row r="154" customFormat="false" ht="15" hidden="false" customHeight="false" outlineLevel="0" collapsed="false">
      <c r="A154" s="7" t="n">
        <v>2023</v>
      </c>
      <c r="B154" s="7" t="n">
        <v>9</v>
      </c>
      <c r="C154" s="8" t="s">
        <v>72</v>
      </c>
      <c r="D154" s="8" t="s">
        <v>73</v>
      </c>
      <c r="E154" s="7" t="n">
        <v>10</v>
      </c>
      <c r="F154" s="7" t="n">
        <v>4</v>
      </c>
      <c r="G154" s="7" t="n">
        <v>0</v>
      </c>
      <c r="H154" s="7" t="n">
        <v>14</v>
      </c>
      <c r="I154" s="8" t="str">
        <f aca="false">E154&amp;"-"&amp;F154&amp;"-"&amp;G154</f>
        <v>10-4-0</v>
      </c>
      <c r="J154" s="9" t="n">
        <f aca="false">(E154+0.5*G154)/H154</f>
        <v>0.714285714285714</v>
      </c>
      <c r="K154" s="10" t="n">
        <v>1639.72</v>
      </c>
      <c r="L154" s="11" t="n">
        <f aca="false">K154/H154</f>
        <v>117.122857142857</v>
      </c>
      <c r="M154" s="7" t="n">
        <f aca="false">SUMPRODUCT(($A$2:$A$181=A154)*($K$2:$K$181&gt;K154))+1</f>
        <v>2</v>
      </c>
      <c r="N154" s="7" t="n">
        <v>1</v>
      </c>
      <c r="O154" s="7" t="n">
        <f aca="false">IF(N154&lt;=6,1,0)</f>
        <v>1</v>
      </c>
      <c r="P154" s="7" t="n">
        <f aca="false">IF(N154=1,1,0)</f>
        <v>1</v>
      </c>
      <c r="Q154" s="7" t="n">
        <f aca="false">IF(N154&lt;=2,1,0)</f>
        <v>1</v>
      </c>
      <c r="R154" s="7" t="n">
        <f aca="false">IF(N154&lt;=3,1,0)</f>
        <v>1</v>
      </c>
    </row>
    <row r="155" customFormat="false" ht="15" hidden="false" customHeight="false" outlineLevel="0" collapsed="false">
      <c r="A155" s="7" t="n">
        <v>2023</v>
      </c>
      <c r="B155" s="7" t="n">
        <v>10</v>
      </c>
      <c r="C155" s="8" t="s">
        <v>103</v>
      </c>
      <c r="D155" s="8" t="s">
        <v>85</v>
      </c>
      <c r="E155" s="7" t="n">
        <v>7</v>
      </c>
      <c r="F155" s="7" t="n">
        <v>7</v>
      </c>
      <c r="G155" s="7" t="n">
        <v>0</v>
      </c>
      <c r="H155" s="7" t="n">
        <v>14</v>
      </c>
      <c r="I155" s="8" t="str">
        <f aca="false">E155&amp;"-"&amp;F155&amp;"-"&amp;G155</f>
        <v>7-7-0</v>
      </c>
      <c r="J155" s="9" t="n">
        <f aca="false">(E155+0.5*G155)/H155</f>
        <v>0.5</v>
      </c>
      <c r="K155" s="10" t="n">
        <v>1494.16</v>
      </c>
      <c r="L155" s="11" t="n">
        <f aca="false">K155/H155</f>
        <v>106.725714285714</v>
      </c>
      <c r="M155" s="7" t="n">
        <f aca="false">SUMPRODUCT(($A$2:$A$181=A155)*($K$2:$K$181&gt;K155))+1</f>
        <v>7</v>
      </c>
      <c r="N155" s="7" t="n">
        <v>5</v>
      </c>
      <c r="O155" s="7" t="n">
        <f aca="false">IF(N155&lt;=6,1,0)</f>
        <v>1</v>
      </c>
      <c r="P155" s="7" t="n">
        <f aca="false">IF(N155=1,1,0)</f>
        <v>0</v>
      </c>
      <c r="Q155" s="7" t="n">
        <f aca="false">IF(N155&lt;=2,1,0)</f>
        <v>0</v>
      </c>
      <c r="R155" s="7" t="n">
        <f aca="false">IF(N155&lt;=3,1,0)</f>
        <v>0</v>
      </c>
    </row>
    <row r="156" customFormat="false" ht="15" hidden="false" customHeight="false" outlineLevel="0" collapsed="false">
      <c r="A156" s="7" t="n">
        <v>2023</v>
      </c>
      <c r="B156" s="7" t="n">
        <v>11</v>
      </c>
      <c r="C156" s="8" t="s">
        <v>64</v>
      </c>
      <c r="D156" s="8" t="s">
        <v>65</v>
      </c>
      <c r="E156" s="7" t="n">
        <v>11</v>
      </c>
      <c r="F156" s="7" t="n">
        <v>3</v>
      </c>
      <c r="G156" s="7" t="n">
        <v>0</v>
      </c>
      <c r="H156" s="7" t="n">
        <v>14</v>
      </c>
      <c r="I156" s="8" t="str">
        <f aca="false">E156&amp;"-"&amp;F156&amp;"-"&amp;G156</f>
        <v>11-3-0</v>
      </c>
      <c r="J156" s="9" t="n">
        <f aca="false">(E156+0.5*G156)/H156</f>
        <v>0.785714285714286</v>
      </c>
      <c r="K156" s="10" t="n">
        <v>1639.7</v>
      </c>
      <c r="L156" s="11" t="n">
        <f aca="false">K156/H156</f>
        <v>117.121428571429</v>
      </c>
      <c r="M156" s="7" t="n">
        <f aca="false">SUMPRODUCT(($A$2:$A$181=A156)*($K$2:$K$181&gt;K156))+1</f>
        <v>3</v>
      </c>
      <c r="N156" s="7" t="n">
        <v>3</v>
      </c>
      <c r="O156" s="7" t="n">
        <f aca="false">IF(N156&lt;=6,1,0)</f>
        <v>1</v>
      </c>
      <c r="P156" s="7" t="n">
        <f aca="false">IF(N156=1,1,0)</f>
        <v>0</v>
      </c>
      <c r="Q156" s="7" t="n">
        <f aca="false">IF(N156&lt;=2,1,0)</f>
        <v>0</v>
      </c>
      <c r="R156" s="7" t="n">
        <f aca="false">IF(N156&lt;=3,1,0)</f>
        <v>1</v>
      </c>
    </row>
    <row r="157" customFormat="false" ht="15" hidden="false" customHeight="false" outlineLevel="0" collapsed="false">
      <c r="A157" s="7" t="n">
        <v>2023</v>
      </c>
      <c r="B157" s="7" t="n">
        <v>12</v>
      </c>
      <c r="C157" s="8" t="s">
        <v>62</v>
      </c>
      <c r="D157" s="8" t="s">
        <v>63</v>
      </c>
      <c r="E157" s="7" t="n">
        <v>6</v>
      </c>
      <c r="F157" s="7" t="n">
        <v>8</v>
      </c>
      <c r="G157" s="7" t="n">
        <v>0</v>
      </c>
      <c r="H157" s="7" t="n">
        <v>14</v>
      </c>
      <c r="I157" s="8" t="str">
        <f aca="false">E157&amp;"-"&amp;F157&amp;"-"&amp;G157</f>
        <v>6-8-0</v>
      </c>
      <c r="J157" s="9" t="n">
        <f aca="false">(E157+0.5*G157)/H157</f>
        <v>0.428571428571429</v>
      </c>
      <c r="K157" s="10" t="n">
        <v>1527.4</v>
      </c>
      <c r="L157" s="11" t="n">
        <f aca="false">K157/H157</f>
        <v>109.1</v>
      </c>
      <c r="M157" s="7" t="n">
        <f aca="false">SUMPRODUCT(($A$2:$A$181=A157)*($K$2:$K$181&gt;K157))+1</f>
        <v>4</v>
      </c>
      <c r="N157" s="7" t="n">
        <v>4</v>
      </c>
      <c r="O157" s="7" t="n">
        <f aca="false">IF(N157&lt;=6,1,0)</f>
        <v>1</v>
      </c>
      <c r="P157" s="7" t="n">
        <f aca="false">IF(N157=1,1,0)</f>
        <v>0</v>
      </c>
      <c r="Q157" s="7" t="n">
        <f aca="false">IF(N157&lt;=2,1,0)</f>
        <v>0</v>
      </c>
      <c r="R157" s="7" t="n">
        <f aca="false">IF(N157&lt;=3,1,0)</f>
        <v>0</v>
      </c>
    </row>
    <row r="158" customFormat="false" ht="15" hidden="false" customHeight="false" outlineLevel="0" collapsed="false">
      <c r="A158" s="12" t="n">
        <v>2024</v>
      </c>
      <c r="B158" s="12" t="n">
        <v>1</v>
      </c>
      <c r="C158" s="13" t="s">
        <v>104</v>
      </c>
      <c r="D158" s="13" t="s">
        <v>105</v>
      </c>
      <c r="E158" s="12" t="n">
        <v>4</v>
      </c>
      <c r="F158" s="12" t="n">
        <v>10</v>
      </c>
      <c r="G158" s="12" t="n">
        <v>0</v>
      </c>
      <c r="H158" s="12" t="n">
        <v>14</v>
      </c>
      <c r="I158" s="13" t="str">
        <f aca="false">E158&amp;"-"&amp;F158&amp;"-"&amp;G158</f>
        <v>4-10-0</v>
      </c>
      <c r="J158" s="14" t="n">
        <f aca="false">(E158+0.5*G158)/H158</f>
        <v>0.285714285714286</v>
      </c>
      <c r="K158" s="15" t="n">
        <v>1169</v>
      </c>
      <c r="L158" s="16" t="n">
        <f aca="false">K158/H158</f>
        <v>83.5</v>
      </c>
      <c r="M158" s="12" t="n">
        <f aca="false">SUMPRODUCT(($A$2:$A$181=A158)*($K$2:$K$181&gt;K158))+1</f>
        <v>12</v>
      </c>
      <c r="N158" s="12" t="n">
        <v>11</v>
      </c>
      <c r="O158" s="12" t="n">
        <f aca="false">IF(N158&lt;=6,1,0)</f>
        <v>0</v>
      </c>
      <c r="P158" s="12" t="n">
        <f aca="false">IF(N158=1,1,0)</f>
        <v>0</v>
      </c>
      <c r="Q158" s="12" t="n">
        <f aca="false">IF(N158&lt;=2,1,0)</f>
        <v>0</v>
      </c>
      <c r="R158" s="12" t="n">
        <f aca="false">IF(N158&lt;=3,1,0)</f>
        <v>0</v>
      </c>
    </row>
    <row r="159" customFormat="false" ht="15" hidden="false" customHeight="false" outlineLevel="0" collapsed="false">
      <c r="A159" s="7" t="n">
        <v>2024</v>
      </c>
      <c r="B159" s="7" t="n">
        <v>2</v>
      </c>
      <c r="C159" s="8" t="s">
        <v>56</v>
      </c>
      <c r="D159" s="8" t="s">
        <v>57</v>
      </c>
      <c r="E159" s="7" t="n">
        <v>7</v>
      </c>
      <c r="F159" s="7" t="n">
        <v>7</v>
      </c>
      <c r="G159" s="7" t="n">
        <v>0</v>
      </c>
      <c r="H159" s="7" t="n">
        <v>14</v>
      </c>
      <c r="I159" s="8" t="str">
        <f aca="false">E159&amp;"-"&amp;F159&amp;"-"&amp;G159</f>
        <v>7-7-0</v>
      </c>
      <c r="J159" s="9" t="n">
        <f aca="false">(E159+0.5*G159)/H159</f>
        <v>0.5</v>
      </c>
      <c r="K159" s="10" t="n">
        <v>1542.12</v>
      </c>
      <c r="L159" s="11" t="n">
        <f aca="false">K159/H159</f>
        <v>110.151428571429</v>
      </c>
      <c r="M159" s="7" t="n">
        <f aca="false">SUMPRODUCT(($A$2:$A$181=A159)*($K$2:$K$181&gt;K159))+1</f>
        <v>6</v>
      </c>
      <c r="N159" s="7" t="n">
        <v>1</v>
      </c>
      <c r="O159" s="7" t="n">
        <f aca="false">IF(N159&lt;=6,1,0)</f>
        <v>1</v>
      </c>
      <c r="P159" s="7" t="n">
        <f aca="false">IF(N159=1,1,0)</f>
        <v>1</v>
      </c>
      <c r="Q159" s="7" t="n">
        <f aca="false">IF(N159&lt;=2,1,0)</f>
        <v>1</v>
      </c>
      <c r="R159" s="7" t="n">
        <f aca="false">IF(N159&lt;=3,1,0)</f>
        <v>1</v>
      </c>
    </row>
    <row r="160" customFormat="false" ht="15" hidden="false" customHeight="false" outlineLevel="0" collapsed="false">
      <c r="A160" s="7" t="n">
        <v>2024</v>
      </c>
      <c r="B160" s="7" t="n">
        <v>3</v>
      </c>
      <c r="C160" s="8" t="s">
        <v>72</v>
      </c>
      <c r="D160" s="8" t="s">
        <v>73</v>
      </c>
      <c r="E160" s="7" t="n">
        <v>8</v>
      </c>
      <c r="F160" s="7" t="n">
        <v>6</v>
      </c>
      <c r="G160" s="7" t="n">
        <v>0</v>
      </c>
      <c r="H160" s="7" t="n">
        <v>14</v>
      </c>
      <c r="I160" s="8" t="str">
        <f aca="false">E160&amp;"-"&amp;F160&amp;"-"&amp;G160</f>
        <v>8-6-0</v>
      </c>
      <c r="J160" s="9" t="n">
        <f aca="false">(E160+0.5*G160)/H160</f>
        <v>0.571428571428571</v>
      </c>
      <c r="K160" s="10" t="n">
        <v>1616.54</v>
      </c>
      <c r="L160" s="11" t="n">
        <f aca="false">K160/H160</f>
        <v>115.467142857143</v>
      </c>
      <c r="M160" s="7" t="n">
        <f aca="false">SUMPRODUCT(($A$2:$A$181=A160)*($K$2:$K$181&gt;K160))+1</f>
        <v>2</v>
      </c>
      <c r="N160" s="7" t="n">
        <v>2</v>
      </c>
      <c r="O160" s="7" t="n">
        <f aca="false">IF(N160&lt;=6,1,0)</f>
        <v>1</v>
      </c>
      <c r="P160" s="7" t="n">
        <f aca="false">IF(N160=1,1,0)</f>
        <v>0</v>
      </c>
      <c r="Q160" s="7" t="n">
        <f aca="false">IF(N160&lt;=2,1,0)</f>
        <v>1</v>
      </c>
      <c r="R160" s="7" t="n">
        <f aca="false">IF(N160&lt;=3,1,0)</f>
        <v>1</v>
      </c>
    </row>
    <row r="161" customFormat="false" ht="15" hidden="false" customHeight="false" outlineLevel="0" collapsed="false">
      <c r="A161" s="12" t="n">
        <v>2024</v>
      </c>
      <c r="B161" s="12" t="n">
        <v>4</v>
      </c>
      <c r="C161" s="13" t="s">
        <v>106</v>
      </c>
      <c r="D161" s="13" t="s">
        <v>85</v>
      </c>
      <c r="E161" s="12" t="n">
        <v>5</v>
      </c>
      <c r="F161" s="12" t="n">
        <v>9</v>
      </c>
      <c r="G161" s="12" t="n">
        <v>0</v>
      </c>
      <c r="H161" s="12" t="n">
        <v>14</v>
      </c>
      <c r="I161" s="13" t="str">
        <f aca="false">E161&amp;"-"&amp;F161&amp;"-"&amp;G161</f>
        <v>5-9-0</v>
      </c>
      <c r="J161" s="14" t="n">
        <f aca="false">(E161+0.5*G161)/H161</f>
        <v>0.357142857142857</v>
      </c>
      <c r="K161" s="15" t="n">
        <v>1462.58</v>
      </c>
      <c r="L161" s="16" t="n">
        <f aca="false">K161/H161</f>
        <v>104.47</v>
      </c>
      <c r="M161" s="12" t="n">
        <f aca="false">SUMPRODUCT(($A$2:$A$181=A161)*($K$2:$K$181&gt;K161))+1</f>
        <v>9</v>
      </c>
      <c r="N161" s="12" t="n">
        <v>10</v>
      </c>
      <c r="O161" s="12" t="n">
        <f aca="false">IF(N161&lt;=6,1,0)</f>
        <v>0</v>
      </c>
      <c r="P161" s="12" t="n">
        <f aca="false">IF(N161=1,1,0)</f>
        <v>0</v>
      </c>
      <c r="Q161" s="12" t="n">
        <f aca="false">IF(N161&lt;=2,1,0)</f>
        <v>0</v>
      </c>
      <c r="R161" s="12" t="n">
        <f aca="false">IF(N161&lt;=3,1,0)</f>
        <v>0</v>
      </c>
    </row>
    <row r="162" customFormat="false" ht="15" hidden="false" customHeight="false" outlineLevel="0" collapsed="false">
      <c r="A162" s="7" t="n">
        <v>2024</v>
      </c>
      <c r="B162" s="7" t="n">
        <v>5</v>
      </c>
      <c r="C162" s="8" t="s">
        <v>101</v>
      </c>
      <c r="D162" s="8" t="s">
        <v>61</v>
      </c>
      <c r="E162" s="7" t="n">
        <v>10</v>
      </c>
      <c r="F162" s="7" t="n">
        <v>4</v>
      </c>
      <c r="G162" s="7" t="n">
        <v>0</v>
      </c>
      <c r="H162" s="7" t="n">
        <v>14</v>
      </c>
      <c r="I162" s="8" t="str">
        <f aca="false">E162&amp;"-"&amp;F162&amp;"-"&amp;G162</f>
        <v>10-4-0</v>
      </c>
      <c r="J162" s="9" t="n">
        <f aca="false">(E162+0.5*G162)/H162</f>
        <v>0.714285714285714</v>
      </c>
      <c r="K162" s="10" t="n">
        <v>1521.46</v>
      </c>
      <c r="L162" s="11" t="n">
        <f aca="false">K162/H162</f>
        <v>108.675714285714</v>
      </c>
      <c r="M162" s="7" t="n">
        <f aca="false">SUMPRODUCT(($A$2:$A$181=A162)*($K$2:$K$181&gt;K162))+1</f>
        <v>7</v>
      </c>
      <c r="N162" s="7" t="n">
        <v>4</v>
      </c>
      <c r="O162" s="7" t="n">
        <f aca="false">IF(N162&lt;=6,1,0)</f>
        <v>1</v>
      </c>
      <c r="P162" s="7" t="n">
        <f aca="false">IF(N162=1,1,0)</f>
        <v>0</v>
      </c>
      <c r="Q162" s="7" t="n">
        <f aca="false">IF(N162&lt;=2,1,0)</f>
        <v>0</v>
      </c>
      <c r="R162" s="7" t="n">
        <f aca="false">IF(N162&lt;=3,1,0)</f>
        <v>0</v>
      </c>
    </row>
    <row r="163" customFormat="false" ht="15" hidden="false" customHeight="false" outlineLevel="0" collapsed="false">
      <c r="A163" s="7" t="n">
        <v>2024</v>
      </c>
      <c r="B163" s="7" t="n">
        <v>6</v>
      </c>
      <c r="C163" s="8" t="s">
        <v>62</v>
      </c>
      <c r="D163" s="8" t="s">
        <v>63</v>
      </c>
      <c r="E163" s="7" t="n">
        <v>9</v>
      </c>
      <c r="F163" s="7" t="n">
        <v>5</v>
      </c>
      <c r="G163" s="7" t="n">
        <v>0</v>
      </c>
      <c r="H163" s="7" t="n">
        <v>14</v>
      </c>
      <c r="I163" s="8" t="str">
        <f aca="false">E163&amp;"-"&amp;F163&amp;"-"&amp;G163</f>
        <v>9-5-0</v>
      </c>
      <c r="J163" s="9" t="n">
        <f aca="false">(E163+0.5*G163)/H163</f>
        <v>0.642857142857143</v>
      </c>
      <c r="K163" s="10" t="n">
        <v>1684.4</v>
      </c>
      <c r="L163" s="11" t="n">
        <f aca="false">K163/H163</f>
        <v>120.314285714286</v>
      </c>
      <c r="M163" s="7" t="n">
        <f aca="false">SUMPRODUCT(($A$2:$A$181=A163)*($K$2:$K$181&gt;K163))+1</f>
        <v>1</v>
      </c>
      <c r="N163" s="7" t="n">
        <v>3</v>
      </c>
      <c r="O163" s="7" t="n">
        <f aca="false">IF(N163&lt;=6,1,0)</f>
        <v>1</v>
      </c>
      <c r="P163" s="7" t="n">
        <f aca="false">IF(N163=1,1,0)</f>
        <v>0</v>
      </c>
      <c r="Q163" s="7" t="n">
        <f aca="false">IF(N163&lt;=2,1,0)</f>
        <v>0</v>
      </c>
      <c r="R163" s="7" t="n">
        <f aca="false">IF(N163&lt;=3,1,0)</f>
        <v>1</v>
      </c>
    </row>
    <row r="164" customFormat="false" ht="15" hidden="false" customHeight="false" outlineLevel="0" collapsed="false">
      <c r="A164" s="12" t="n">
        <v>2024</v>
      </c>
      <c r="B164" s="12" t="n">
        <v>7</v>
      </c>
      <c r="C164" s="13" t="s">
        <v>58</v>
      </c>
      <c r="D164" s="13" t="s">
        <v>59</v>
      </c>
      <c r="E164" s="12" t="n">
        <v>6</v>
      </c>
      <c r="F164" s="12" t="n">
        <v>8</v>
      </c>
      <c r="G164" s="12" t="n">
        <v>0</v>
      </c>
      <c r="H164" s="12" t="n">
        <v>14</v>
      </c>
      <c r="I164" s="13" t="str">
        <f aca="false">E164&amp;"-"&amp;F164&amp;"-"&amp;G164</f>
        <v>6-8-0</v>
      </c>
      <c r="J164" s="14" t="n">
        <f aca="false">(E164+0.5*G164)/H164</f>
        <v>0.428571428571429</v>
      </c>
      <c r="K164" s="15" t="n">
        <v>1480.24</v>
      </c>
      <c r="L164" s="16" t="n">
        <f aca="false">K164/H164</f>
        <v>105.731428571429</v>
      </c>
      <c r="M164" s="12" t="n">
        <f aca="false">SUMPRODUCT(($A$2:$A$181=A164)*($K$2:$K$181&gt;K164))+1</f>
        <v>8</v>
      </c>
      <c r="N164" s="12" t="n">
        <v>8</v>
      </c>
      <c r="O164" s="12" t="n">
        <f aca="false">IF(N164&lt;=6,1,0)</f>
        <v>0</v>
      </c>
      <c r="P164" s="12" t="n">
        <f aca="false">IF(N164=1,1,0)</f>
        <v>0</v>
      </c>
      <c r="Q164" s="12" t="n">
        <f aca="false">IF(N164&lt;=2,1,0)</f>
        <v>0</v>
      </c>
      <c r="R164" s="12" t="n">
        <f aca="false">IF(N164&lt;=3,1,0)</f>
        <v>0</v>
      </c>
    </row>
    <row r="165" customFormat="false" ht="15" hidden="false" customHeight="false" outlineLevel="0" collapsed="false">
      <c r="A165" s="12" t="n">
        <v>2024</v>
      </c>
      <c r="B165" s="12" t="n">
        <v>8</v>
      </c>
      <c r="C165" s="13" t="s">
        <v>107</v>
      </c>
      <c r="D165" s="13" t="s">
        <v>97</v>
      </c>
      <c r="E165" s="12" t="n">
        <v>6</v>
      </c>
      <c r="F165" s="12" t="n">
        <v>8</v>
      </c>
      <c r="G165" s="12" t="n">
        <v>0</v>
      </c>
      <c r="H165" s="12" t="n">
        <v>14</v>
      </c>
      <c r="I165" s="13" t="str">
        <f aca="false">E165&amp;"-"&amp;F165&amp;"-"&amp;G165</f>
        <v>6-8-0</v>
      </c>
      <c r="J165" s="14" t="n">
        <f aca="false">(E165+0.5*G165)/H165</f>
        <v>0.428571428571429</v>
      </c>
      <c r="K165" s="15" t="n">
        <v>1594.5</v>
      </c>
      <c r="L165" s="16" t="n">
        <f aca="false">K165/H165</f>
        <v>113.892857142857</v>
      </c>
      <c r="M165" s="12" t="n">
        <f aca="false">SUMPRODUCT(($A$2:$A$181=A165)*($K$2:$K$181&gt;K165))+1</f>
        <v>3</v>
      </c>
      <c r="N165" s="12" t="n">
        <v>9</v>
      </c>
      <c r="O165" s="12" t="n">
        <f aca="false">IF(N165&lt;=6,1,0)</f>
        <v>0</v>
      </c>
      <c r="P165" s="12" t="n">
        <f aca="false">IF(N165=1,1,0)</f>
        <v>0</v>
      </c>
      <c r="Q165" s="12" t="n">
        <f aca="false">IF(N165&lt;=2,1,0)</f>
        <v>0</v>
      </c>
      <c r="R165" s="12" t="n">
        <f aca="false">IF(N165&lt;=3,1,0)</f>
        <v>0</v>
      </c>
    </row>
    <row r="166" customFormat="false" ht="15" hidden="false" customHeight="false" outlineLevel="0" collapsed="false">
      <c r="A166" s="7" t="n">
        <v>2024</v>
      </c>
      <c r="B166" s="7" t="n">
        <v>9</v>
      </c>
      <c r="C166" s="8" t="s">
        <v>64</v>
      </c>
      <c r="D166" s="8" t="s">
        <v>65</v>
      </c>
      <c r="E166" s="7" t="n">
        <v>8</v>
      </c>
      <c r="F166" s="7" t="n">
        <v>6</v>
      </c>
      <c r="G166" s="7" t="n">
        <v>0</v>
      </c>
      <c r="H166" s="7" t="n">
        <v>14</v>
      </c>
      <c r="I166" s="8" t="str">
        <f aca="false">E166&amp;"-"&amp;F166&amp;"-"&amp;G166</f>
        <v>8-6-0</v>
      </c>
      <c r="J166" s="9" t="n">
        <f aca="false">(E166+0.5*G166)/H166</f>
        <v>0.571428571428571</v>
      </c>
      <c r="K166" s="10" t="n">
        <v>1586.18</v>
      </c>
      <c r="L166" s="11" t="n">
        <f aca="false">K166/H166</f>
        <v>113.298571428571</v>
      </c>
      <c r="M166" s="7" t="n">
        <f aca="false">SUMPRODUCT(($A$2:$A$181=A166)*($K$2:$K$181&gt;K166))+1</f>
        <v>5</v>
      </c>
      <c r="N166" s="7" t="n">
        <v>5</v>
      </c>
      <c r="O166" s="7" t="n">
        <f aca="false">IF(N166&lt;=6,1,0)</f>
        <v>1</v>
      </c>
      <c r="P166" s="7" t="n">
        <f aca="false">IF(N166=1,1,0)</f>
        <v>0</v>
      </c>
      <c r="Q166" s="7" t="n">
        <f aca="false">IF(N166&lt;=2,1,0)</f>
        <v>0</v>
      </c>
      <c r="R166" s="7" t="n">
        <f aca="false">IF(N166&lt;=3,1,0)</f>
        <v>0</v>
      </c>
    </row>
    <row r="167" customFormat="false" ht="15" hidden="false" customHeight="false" outlineLevel="0" collapsed="false">
      <c r="A167" s="12" t="n">
        <v>2024</v>
      </c>
      <c r="B167" s="12" t="n">
        <v>10</v>
      </c>
      <c r="C167" s="13" t="s">
        <v>54</v>
      </c>
      <c r="D167" s="13" t="s">
        <v>55</v>
      </c>
      <c r="E167" s="12" t="n">
        <v>7</v>
      </c>
      <c r="F167" s="12" t="n">
        <v>7</v>
      </c>
      <c r="G167" s="12" t="n">
        <v>0</v>
      </c>
      <c r="H167" s="12" t="n">
        <v>14</v>
      </c>
      <c r="I167" s="13" t="str">
        <f aca="false">E167&amp;"-"&amp;F167&amp;"-"&amp;G167</f>
        <v>7-7-0</v>
      </c>
      <c r="J167" s="14" t="n">
        <f aca="false">(E167+0.5*G167)/H167</f>
        <v>0.5</v>
      </c>
      <c r="K167" s="15" t="n">
        <v>1319.9</v>
      </c>
      <c r="L167" s="16" t="n">
        <f aca="false">K167/H167</f>
        <v>94.2785714285714</v>
      </c>
      <c r="M167" s="12" t="n">
        <f aca="false">SUMPRODUCT(($A$2:$A$181=A167)*($K$2:$K$181&gt;K167))+1</f>
        <v>10</v>
      </c>
      <c r="N167" s="12" t="n">
        <v>7</v>
      </c>
      <c r="O167" s="12" t="n">
        <f aca="false">IF(N167&lt;=6,1,0)</f>
        <v>0</v>
      </c>
      <c r="P167" s="12" t="n">
        <f aca="false">IF(N167=1,1,0)</f>
        <v>0</v>
      </c>
      <c r="Q167" s="12" t="n">
        <f aca="false">IF(N167&lt;=2,1,0)</f>
        <v>0</v>
      </c>
      <c r="R167" s="12" t="n">
        <f aca="false">IF(N167&lt;=3,1,0)</f>
        <v>0</v>
      </c>
    </row>
    <row r="168" customFormat="false" ht="15" hidden="false" customHeight="false" outlineLevel="0" collapsed="false">
      <c r="A168" s="7" t="n">
        <v>2024</v>
      </c>
      <c r="B168" s="7" t="n">
        <v>11</v>
      </c>
      <c r="C168" s="8" t="s">
        <v>100</v>
      </c>
      <c r="D168" s="8" t="s">
        <v>108</v>
      </c>
      <c r="E168" s="7" t="n">
        <v>8</v>
      </c>
      <c r="F168" s="7" t="n">
        <v>6</v>
      </c>
      <c r="G168" s="7" t="n">
        <v>0</v>
      </c>
      <c r="H168" s="7" t="n">
        <v>14</v>
      </c>
      <c r="I168" s="8" t="str">
        <f aca="false">E168&amp;"-"&amp;F168&amp;"-"&amp;G168</f>
        <v>8-6-0</v>
      </c>
      <c r="J168" s="9" t="n">
        <f aca="false">(E168+0.5*G168)/H168</f>
        <v>0.571428571428571</v>
      </c>
      <c r="K168" s="10" t="n">
        <v>1588.32</v>
      </c>
      <c r="L168" s="11" t="n">
        <f aca="false">K168/H168</f>
        <v>113.451428571429</v>
      </c>
      <c r="M168" s="7" t="n">
        <f aca="false">SUMPRODUCT(($A$2:$A$181=A168)*($K$2:$K$181&gt;K168))+1</f>
        <v>4</v>
      </c>
      <c r="N168" s="7" t="n">
        <v>6</v>
      </c>
      <c r="O168" s="7" t="n">
        <f aca="false">IF(N168&lt;=6,1,0)</f>
        <v>1</v>
      </c>
      <c r="P168" s="7" t="n">
        <f aca="false">IF(N168=1,1,0)</f>
        <v>0</v>
      </c>
      <c r="Q168" s="7" t="n">
        <f aca="false">IF(N168&lt;=2,1,0)</f>
        <v>0</v>
      </c>
      <c r="R168" s="7" t="n">
        <f aca="false">IF(N168&lt;=3,1,0)</f>
        <v>0</v>
      </c>
    </row>
    <row r="169" customFormat="false" ht="15" hidden="false" customHeight="false" outlineLevel="0" collapsed="false">
      <c r="A169" s="12" t="n">
        <v>2024</v>
      </c>
      <c r="B169" s="12" t="n">
        <v>12</v>
      </c>
      <c r="C169" s="13" t="s">
        <v>66</v>
      </c>
      <c r="D169" s="13" t="s">
        <v>67</v>
      </c>
      <c r="E169" s="12" t="n">
        <v>6</v>
      </c>
      <c r="F169" s="12" t="n">
        <v>8</v>
      </c>
      <c r="G169" s="12" t="n">
        <v>0</v>
      </c>
      <c r="H169" s="12" t="n">
        <v>14</v>
      </c>
      <c r="I169" s="13" t="str">
        <f aca="false">E169&amp;"-"&amp;F169&amp;"-"&amp;G169</f>
        <v>6-8-0</v>
      </c>
      <c r="J169" s="14" t="n">
        <f aca="false">(E169+0.5*G169)/H169</f>
        <v>0.428571428571429</v>
      </c>
      <c r="K169" s="15" t="n">
        <v>1280.08</v>
      </c>
      <c r="L169" s="16" t="n">
        <f aca="false">K169/H169</f>
        <v>91.4342857142857</v>
      </c>
      <c r="M169" s="12" t="n">
        <f aca="false">SUMPRODUCT(($A$2:$A$181=A169)*($K$2:$K$181&gt;K169))+1</f>
        <v>11</v>
      </c>
      <c r="N169" s="12" t="n">
        <v>12</v>
      </c>
      <c r="O169" s="12" t="n">
        <f aca="false">IF(N169&lt;=6,1,0)</f>
        <v>0</v>
      </c>
      <c r="P169" s="12" t="n">
        <f aca="false">IF(N169=1,1,0)</f>
        <v>0</v>
      </c>
      <c r="Q169" s="12" t="n">
        <f aca="false">IF(N169&lt;=2,1,0)</f>
        <v>0</v>
      </c>
      <c r="R169" s="12" t="n">
        <f aca="false">IF(N169&lt;=3,1,0)</f>
        <v>0</v>
      </c>
    </row>
    <row r="170" customFormat="false" ht="15" hidden="false" customHeight="false" outlineLevel="0" collapsed="false">
      <c r="A170" s="7" t="n">
        <v>2025</v>
      </c>
      <c r="B170" s="7" t="n">
        <v>1</v>
      </c>
      <c r="C170" s="8" t="s">
        <v>104</v>
      </c>
      <c r="D170" s="8" t="s">
        <v>105</v>
      </c>
      <c r="E170" s="7" t="n">
        <v>8</v>
      </c>
      <c r="F170" s="7" t="n">
        <v>6</v>
      </c>
      <c r="G170" s="7" t="n">
        <v>0</v>
      </c>
      <c r="H170" s="7" t="n">
        <v>14</v>
      </c>
      <c r="I170" s="8" t="str">
        <f aca="false">E170&amp;"-"&amp;F170&amp;"-"&amp;G170</f>
        <v>8-6-0</v>
      </c>
      <c r="J170" s="9" t="n">
        <f aca="false">(E170+0.5*G170)/H170</f>
        <v>0.571428571428571</v>
      </c>
      <c r="K170" s="10" t="n">
        <v>1461.38</v>
      </c>
      <c r="L170" s="11" t="n">
        <f aca="false">K170/H170</f>
        <v>104.384285714286</v>
      </c>
      <c r="M170" s="7" t="n">
        <f aca="false">SUMPRODUCT(($A$2:$A$181=A170)*($K$2:$K$181&gt;K170))+1</f>
        <v>8</v>
      </c>
      <c r="N170" s="7" t="n">
        <v>4</v>
      </c>
      <c r="O170" s="7" t="n">
        <f aca="false">IF(N170&lt;=6,1,0)</f>
        <v>1</v>
      </c>
      <c r="P170" s="7" t="n">
        <f aca="false">IF(N170=1,1,0)</f>
        <v>0</v>
      </c>
      <c r="Q170" s="7" t="n">
        <f aca="false">IF(N170&lt;=2,1,0)</f>
        <v>0</v>
      </c>
      <c r="R170" s="7" t="n">
        <f aca="false">IF(N170&lt;=3,1,0)</f>
        <v>0</v>
      </c>
    </row>
    <row r="171" customFormat="false" ht="15" hidden="false" customHeight="false" outlineLevel="0" collapsed="false">
      <c r="A171" s="7" t="n">
        <v>2025</v>
      </c>
      <c r="B171" s="7" t="n">
        <v>2</v>
      </c>
      <c r="C171" s="8" t="s">
        <v>107</v>
      </c>
      <c r="D171" s="8" t="s">
        <v>97</v>
      </c>
      <c r="E171" s="7" t="n">
        <v>9</v>
      </c>
      <c r="F171" s="7" t="n">
        <v>5</v>
      </c>
      <c r="G171" s="7" t="n">
        <v>0</v>
      </c>
      <c r="H171" s="7" t="n">
        <v>14</v>
      </c>
      <c r="I171" s="8" t="str">
        <f aca="false">E171&amp;"-"&amp;F171&amp;"-"&amp;G171</f>
        <v>9-5-0</v>
      </c>
      <c r="J171" s="9" t="n">
        <f aca="false">(E171+0.5*G171)/H171</f>
        <v>0.642857142857143</v>
      </c>
      <c r="K171" s="10" t="n">
        <v>1694.06</v>
      </c>
      <c r="L171" s="11" t="n">
        <f aca="false">K171/H171</f>
        <v>121.004285714286</v>
      </c>
      <c r="M171" s="7" t="n">
        <f aca="false">SUMPRODUCT(($A$2:$A$181=A171)*($K$2:$K$181&gt;K171))+1</f>
        <v>1</v>
      </c>
      <c r="N171" s="7" t="n">
        <v>1</v>
      </c>
      <c r="O171" s="7" t="n">
        <f aca="false">IF(N171&lt;=6,1,0)</f>
        <v>1</v>
      </c>
      <c r="P171" s="7" t="n">
        <f aca="false">IF(N171=1,1,0)</f>
        <v>1</v>
      </c>
      <c r="Q171" s="7" t="n">
        <f aca="false">IF(N171&lt;=2,1,0)</f>
        <v>1</v>
      </c>
      <c r="R171" s="7" t="n">
        <f aca="false">IF(N171&lt;=3,1,0)</f>
        <v>1</v>
      </c>
    </row>
    <row r="172" customFormat="false" ht="15" hidden="false" customHeight="false" outlineLevel="0" collapsed="false">
      <c r="A172" s="12" t="n">
        <v>2025</v>
      </c>
      <c r="B172" s="12" t="n">
        <v>3</v>
      </c>
      <c r="C172" s="13" t="s">
        <v>56</v>
      </c>
      <c r="D172" s="13" t="s">
        <v>57</v>
      </c>
      <c r="E172" s="12" t="n">
        <v>6</v>
      </c>
      <c r="F172" s="12" t="n">
        <v>8</v>
      </c>
      <c r="G172" s="12" t="n">
        <v>0</v>
      </c>
      <c r="H172" s="12" t="n">
        <v>14</v>
      </c>
      <c r="I172" s="13" t="str">
        <f aca="false">E172&amp;"-"&amp;F172&amp;"-"&amp;G172</f>
        <v>6-8-0</v>
      </c>
      <c r="J172" s="14" t="n">
        <f aca="false">(E172+0.5*G172)/H172</f>
        <v>0.428571428571429</v>
      </c>
      <c r="K172" s="15" t="n">
        <v>1383.86</v>
      </c>
      <c r="L172" s="16" t="n">
        <f aca="false">K172/H172</f>
        <v>98.8471428571429</v>
      </c>
      <c r="M172" s="12" t="n">
        <f aca="false">SUMPRODUCT(($A$2:$A$181=A172)*($K$2:$K$181&gt;K172))+1</f>
        <v>10</v>
      </c>
      <c r="N172" s="12" t="n">
        <v>8</v>
      </c>
      <c r="O172" s="12" t="n">
        <f aca="false">IF(N172&lt;=6,1,0)</f>
        <v>0</v>
      </c>
      <c r="P172" s="12" t="n">
        <f aca="false">IF(N172=1,1,0)</f>
        <v>0</v>
      </c>
      <c r="Q172" s="12" t="n">
        <f aca="false">IF(N172&lt;=2,1,0)</f>
        <v>0</v>
      </c>
      <c r="R172" s="12" t="n">
        <f aca="false">IF(N172&lt;=3,1,0)</f>
        <v>0</v>
      </c>
    </row>
    <row r="173" customFormat="false" ht="15" hidden="false" customHeight="false" outlineLevel="0" collapsed="false">
      <c r="A173" s="7" t="n">
        <v>2025</v>
      </c>
      <c r="B173" s="7" t="n">
        <v>4</v>
      </c>
      <c r="C173" s="8" t="s">
        <v>109</v>
      </c>
      <c r="D173" s="8" t="s">
        <v>110</v>
      </c>
      <c r="E173" s="7" t="n">
        <v>7</v>
      </c>
      <c r="F173" s="7" t="n">
        <v>7</v>
      </c>
      <c r="G173" s="7" t="n">
        <v>0</v>
      </c>
      <c r="H173" s="7" t="n">
        <v>14</v>
      </c>
      <c r="I173" s="8" t="str">
        <f aca="false">E173&amp;"-"&amp;F173&amp;"-"&amp;G173</f>
        <v>7-7-0</v>
      </c>
      <c r="J173" s="9" t="n">
        <f aca="false">(E173+0.5*G173)/H173</f>
        <v>0.5</v>
      </c>
      <c r="K173" s="10" t="n">
        <v>1535.74</v>
      </c>
      <c r="L173" s="11" t="n">
        <f aca="false">K173/H173</f>
        <v>109.695714285714</v>
      </c>
      <c r="M173" s="7" t="n">
        <f aca="false">SUMPRODUCT(($A$2:$A$181=A173)*($K$2:$K$181&gt;K173))+1</f>
        <v>3</v>
      </c>
      <c r="N173" s="7" t="n">
        <v>6</v>
      </c>
      <c r="O173" s="7" t="n">
        <f aca="false">IF(N173&lt;=6,1,0)</f>
        <v>1</v>
      </c>
      <c r="P173" s="7" t="n">
        <f aca="false">IF(N173=1,1,0)</f>
        <v>0</v>
      </c>
      <c r="Q173" s="7" t="n">
        <f aca="false">IF(N173&lt;=2,1,0)</f>
        <v>0</v>
      </c>
      <c r="R173" s="7" t="n">
        <f aca="false">IF(N173&lt;=3,1,0)</f>
        <v>0</v>
      </c>
    </row>
    <row r="174" customFormat="false" ht="15" hidden="false" customHeight="false" outlineLevel="0" collapsed="false">
      <c r="A174" s="12" t="n">
        <v>2025</v>
      </c>
      <c r="B174" s="12" t="n">
        <v>5</v>
      </c>
      <c r="C174" s="13" t="s">
        <v>64</v>
      </c>
      <c r="D174" s="13" t="s">
        <v>65</v>
      </c>
      <c r="E174" s="12" t="n">
        <v>6</v>
      </c>
      <c r="F174" s="12" t="n">
        <v>8</v>
      </c>
      <c r="G174" s="12" t="n">
        <v>0</v>
      </c>
      <c r="H174" s="12" t="n">
        <v>14</v>
      </c>
      <c r="I174" s="13" t="str">
        <f aca="false">E174&amp;"-"&amp;F174&amp;"-"&amp;G174</f>
        <v>6-8-0</v>
      </c>
      <c r="J174" s="14" t="n">
        <f aca="false">(E174+0.5*G174)/H174</f>
        <v>0.428571428571429</v>
      </c>
      <c r="K174" s="15" t="n">
        <v>1364.26</v>
      </c>
      <c r="L174" s="16" t="n">
        <f aca="false">K174/H174</f>
        <v>97.4471428571429</v>
      </c>
      <c r="M174" s="12" t="n">
        <f aca="false">SUMPRODUCT(($A$2:$A$181=A174)*($K$2:$K$181&gt;K174))+1</f>
        <v>11</v>
      </c>
      <c r="N174" s="12" t="n">
        <v>12</v>
      </c>
      <c r="O174" s="12" t="n">
        <f aca="false">IF(N174&lt;=6,1,0)</f>
        <v>0</v>
      </c>
      <c r="P174" s="12" t="n">
        <f aca="false">IF(N174=1,1,0)</f>
        <v>0</v>
      </c>
      <c r="Q174" s="12" t="n">
        <f aca="false">IF(N174&lt;=2,1,0)</f>
        <v>0</v>
      </c>
      <c r="R174" s="12" t="n">
        <f aca="false">IF(N174&lt;=3,1,0)</f>
        <v>0</v>
      </c>
    </row>
    <row r="175" customFormat="false" ht="15" hidden="false" customHeight="false" outlineLevel="0" collapsed="false">
      <c r="A175" s="7" t="n">
        <v>2025</v>
      </c>
      <c r="B175" s="7" t="n">
        <v>6</v>
      </c>
      <c r="C175" s="8" t="s">
        <v>58</v>
      </c>
      <c r="D175" s="8" t="s">
        <v>59</v>
      </c>
      <c r="E175" s="7" t="n">
        <v>8</v>
      </c>
      <c r="F175" s="7" t="n">
        <v>6</v>
      </c>
      <c r="G175" s="7" t="n">
        <v>0</v>
      </c>
      <c r="H175" s="7" t="n">
        <v>14</v>
      </c>
      <c r="I175" s="8" t="str">
        <f aca="false">E175&amp;"-"&amp;F175&amp;"-"&amp;G175</f>
        <v>8-6-0</v>
      </c>
      <c r="J175" s="9" t="n">
        <f aca="false">(E175+0.5*G175)/H175</f>
        <v>0.571428571428571</v>
      </c>
      <c r="K175" s="10" t="n">
        <v>1507.04</v>
      </c>
      <c r="L175" s="11" t="n">
        <f aca="false">K175/H175</f>
        <v>107.645714285714</v>
      </c>
      <c r="M175" s="7" t="n">
        <f aca="false">SUMPRODUCT(($A$2:$A$181=A175)*($K$2:$K$181&gt;K175))+1</f>
        <v>5</v>
      </c>
      <c r="N175" s="7" t="n">
        <v>3</v>
      </c>
      <c r="O175" s="7" t="n">
        <f aca="false">IF(N175&lt;=6,1,0)</f>
        <v>1</v>
      </c>
      <c r="P175" s="7" t="n">
        <f aca="false">IF(N175=1,1,0)</f>
        <v>0</v>
      </c>
      <c r="Q175" s="7" t="n">
        <f aca="false">IF(N175&lt;=2,1,0)</f>
        <v>0</v>
      </c>
      <c r="R175" s="7" t="n">
        <f aca="false">IF(N175&lt;=3,1,0)</f>
        <v>1</v>
      </c>
    </row>
    <row r="176" customFormat="false" ht="15" hidden="false" customHeight="false" outlineLevel="0" collapsed="false">
      <c r="A176" s="12" t="n">
        <v>2025</v>
      </c>
      <c r="B176" s="12" t="n">
        <v>7</v>
      </c>
      <c r="C176" s="13" t="s">
        <v>66</v>
      </c>
      <c r="D176" s="13" t="s">
        <v>67</v>
      </c>
      <c r="E176" s="12" t="n">
        <v>7</v>
      </c>
      <c r="F176" s="12" t="n">
        <v>7</v>
      </c>
      <c r="G176" s="12" t="n">
        <v>0</v>
      </c>
      <c r="H176" s="12" t="n">
        <v>14</v>
      </c>
      <c r="I176" s="13" t="str">
        <f aca="false">E176&amp;"-"&amp;F176&amp;"-"&amp;G176</f>
        <v>7-7-0</v>
      </c>
      <c r="J176" s="14" t="n">
        <f aca="false">(E176+0.5*G176)/H176</f>
        <v>0.5</v>
      </c>
      <c r="K176" s="15" t="n">
        <v>1509.52</v>
      </c>
      <c r="L176" s="16" t="n">
        <f aca="false">K176/H176</f>
        <v>107.822857142857</v>
      </c>
      <c r="M176" s="12" t="n">
        <f aca="false">SUMPRODUCT(($A$2:$A$181=A176)*($K$2:$K$181&gt;K176))+1</f>
        <v>4</v>
      </c>
      <c r="N176" s="12" t="n">
        <v>9</v>
      </c>
      <c r="O176" s="12" t="n">
        <f aca="false">IF(N176&lt;=6,1,0)</f>
        <v>0</v>
      </c>
      <c r="P176" s="12" t="n">
        <f aca="false">IF(N176=1,1,0)</f>
        <v>0</v>
      </c>
      <c r="Q176" s="12" t="n">
        <f aca="false">IF(N176&lt;=2,1,0)</f>
        <v>0</v>
      </c>
      <c r="R176" s="12" t="n">
        <f aca="false">IF(N176&lt;=3,1,0)</f>
        <v>0</v>
      </c>
    </row>
    <row r="177" customFormat="false" ht="15" hidden="false" customHeight="false" outlineLevel="0" collapsed="false">
      <c r="A177" s="12" t="n">
        <v>2025</v>
      </c>
      <c r="B177" s="12" t="n">
        <v>8</v>
      </c>
      <c r="C177" s="13" t="s">
        <v>101</v>
      </c>
      <c r="D177" s="13" t="s">
        <v>61</v>
      </c>
      <c r="E177" s="12" t="n">
        <v>6</v>
      </c>
      <c r="F177" s="12" t="n">
        <v>8</v>
      </c>
      <c r="G177" s="12" t="n">
        <v>0</v>
      </c>
      <c r="H177" s="12" t="n">
        <v>14</v>
      </c>
      <c r="I177" s="13" t="str">
        <f aca="false">E177&amp;"-"&amp;F177&amp;"-"&amp;G177</f>
        <v>6-8-0</v>
      </c>
      <c r="J177" s="14" t="n">
        <f aca="false">(E177+0.5*G177)/H177</f>
        <v>0.428571428571429</v>
      </c>
      <c r="K177" s="15" t="n">
        <v>1487.42</v>
      </c>
      <c r="L177" s="16" t="n">
        <f aca="false">K177/H177</f>
        <v>106.244285714286</v>
      </c>
      <c r="M177" s="12" t="n">
        <f aca="false">SUMPRODUCT(($A$2:$A$181=A177)*($K$2:$K$181&gt;K177))+1</f>
        <v>7</v>
      </c>
      <c r="N177" s="12" t="n">
        <v>7</v>
      </c>
      <c r="O177" s="12" t="n">
        <f aca="false">IF(N177&lt;=6,1,0)</f>
        <v>0</v>
      </c>
      <c r="P177" s="12" t="n">
        <f aca="false">IF(N177=1,1,0)</f>
        <v>0</v>
      </c>
      <c r="Q177" s="12" t="n">
        <f aca="false">IF(N177&lt;=2,1,0)</f>
        <v>0</v>
      </c>
      <c r="R177" s="12" t="n">
        <f aca="false">IF(N177&lt;=3,1,0)</f>
        <v>0</v>
      </c>
    </row>
    <row r="178" customFormat="false" ht="15" hidden="false" customHeight="false" outlineLevel="0" collapsed="false">
      <c r="A178" s="12" t="n">
        <v>2025</v>
      </c>
      <c r="B178" s="12" t="n">
        <v>9</v>
      </c>
      <c r="C178" s="13" t="s">
        <v>111</v>
      </c>
      <c r="D178" s="13" t="s">
        <v>108</v>
      </c>
      <c r="E178" s="12" t="n">
        <v>4</v>
      </c>
      <c r="F178" s="12" t="n">
        <v>10</v>
      </c>
      <c r="G178" s="12" t="n">
        <v>0</v>
      </c>
      <c r="H178" s="12" t="n">
        <v>14</v>
      </c>
      <c r="I178" s="13" t="str">
        <f aca="false">E178&amp;"-"&amp;F178&amp;"-"&amp;G178</f>
        <v>4-10-0</v>
      </c>
      <c r="J178" s="14" t="n">
        <f aca="false">(E178+0.5*G178)/H178</f>
        <v>0.285714285714286</v>
      </c>
      <c r="K178" s="15" t="n">
        <v>1301.54</v>
      </c>
      <c r="L178" s="16" t="n">
        <f aca="false">K178/H178</f>
        <v>92.9671428571429</v>
      </c>
      <c r="M178" s="12" t="n">
        <f aca="false">SUMPRODUCT(($A$2:$A$181=A178)*($K$2:$K$181&gt;K178))+1</f>
        <v>12</v>
      </c>
      <c r="N178" s="12" t="n">
        <v>11</v>
      </c>
      <c r="O178" s="12" t="n">
        <f aca="false">IF(N178&lt;=6,1,0)</f>
        <v>0</v>
      </c>
      <c r="P178" s="12" t="n">
        <f aca="false">IF(N178=1,1,0)</f>
        <v>0</v>
      </c>
      <c r="Q178" s="12" t="n">
        <f aca="false">IF(N178&lt;=2,1,0)</f>
        <v>0</v>
      </c>
      <c r="R178" s="12" t="n">
        <f aca="false">IF(N178&lt;=3,1,0)</f>
        <v>0</v>
      </c>
    </row>
    <row r="179" customFormat="false" ht="15" hidden="false" customHeight="false" outlineLevel="0" collapsed="false">
      <c r="A179" s="12" t="n">
        <v>2025</v>
      </c>
      <c r="B179" s="12" t="n">
        <v>10</v>
      </c>
      <c r="C179" s="13" t="s">
        <v>72</v>
      </c>
      <c r="D179" s="13" t="s">
        <v>73</v>
      </c>
      <c r="E179" s="12" t="n">
        <v>7</v>
      </c>
      <c r="F179" s="12" t="n">
        <v>7</v>
      </c>
      <c r="G179" s="12" t="n">
        <v>0</v>
      </c>
      <c r="H179" s="12" t="n">
        <v>14</v>
      </c>
      <c r="I179" s="13" t="str">
        <f aca="false">E179&amp;"-"&amp;F179&amp;"-"&amp;G179</f>
        <v>7-7-0</v>
      </c>
      <c r="J179" s="14" t="n">
        <f aca="false">(E179+0.5*G179)/H179</f>
        <v>0.5</v>
      </c>
      <c r="K179" s="15" t="n">
        <v>1396.18</v>
      </c>
      <c r="L179" s="16" t="n">
        <f aca="false">K179/H179</f>
        <v>99.7271428571429</v>
      </c>
      <c r="M179" s="12" t="n">
        <f aca="false">SUMPRODUCT(($A$2:$A$181=A179)*($K$2:$K$181&gt;K179))+1</f>
        <v>9</v>
      </c>
      <c r="N179" s="12" t="n">
        <v>10</v>
      </c>
      <c r="O179" s="12" t="n">
        <f aca="false">IF(N179&lt;=6,1,0)</f>
        <v>0</v>
      </c>
      <c r="P179" s="12" t="n">
        <f aca="false">IF(N179=1,1,0)</f>
        <v>0</v>
      </c>
      <c r="Q179" s="12" t="n">
        <f aca="false">IF(N179&lt;=2,1,0)</f>
        <v>0</v>
      </c>
      <c r="R179" s="12" t="n">
        <f aca="false">IF(N179&lt;=3,1,0)</f>
        <v>0</v>
      </c>
    </row>
    <row r="180" customFormat="false" ht="15" hidden="false" customHeight="false" outlineLevel="0" collapsed="false">
      <c r="A180" s="7" t="n">
        <v>2025</v>
      </c>
      <c r="B180" s="7" t="n">
        <v>11</v>
      </c>
      <c r="C180" s="8" t="s">
        <v>112</v>
      </c>
      <c r="D180" s="8" t="s">
        <v>85</v>
      </c>
      <c r="E180" s="7" t="n">
        <v>8</v>
      </c>
      <c r="F180" s="7" t="n">
        <v>6</v>
      </c>
      <c r="G180" s="7" t="n">
        <v>0</v>
      </c>
      <c r="H180" s="7" t="n">
        <v>14</v>
      </c>
      <c r="I180" s="8" t="str">
        <f aca="false">E180&amp;"-"&amp;F180&amp;"-"&amp;G180</f>
        <v>8-6-0</v>
      </c>
      <c r="J180" s="9" t="n">
        <f aca="false">(E180+0.5*G180)/H180</f>
        <v>0.571428571428571</v>
      </c>
      <c r="K180" s="10" t="n">
        <v>1539.98</v>
      </c>
      <c r="L180" s="11" t="n">
        <f aca="false">K180/H180</f>
        <v>109.998571428571</v>
      </c>
      <c r="M180" s="7" t="n">
        <f aca="false">SUMPRODUCT(($A$2:$A$181=A180)*($K$2:$K$181&gt;K180))+1</f>
        <v>2</v>
      </c>
      <c r="N180" s="7" t="n">
        <v>2</v>
      </c>
      <c r="O180" s="7" t="n">
        <f aca="false">IF(N180&lt;=6,1,0)</f>
        <v>1</v>
      </c>
      <c r="P180" s="7" t="n">
        <f aca="false">IF(N180=1,1,0)</f>
        <v>0</v>
      </c>
      <c r="Q180" s="7" t="n">
        <f aca="false">IF(N180&lt;=2,1,0)</f>
        <v>1</v>
      </c>
      <c r="R180" s="7" t="n">
        <f aca="false">IF(N180&lt;=3,1,0)</f>
        <v>1</v>
      </c>
    </row>
    <row r="181" customFormat="false" ht="15" hidden="false" customHeight="false" outlineLevel="0" collapsed="false">
      <c r="A181" s="7" t="n">
        <v>2025</v>
      </c>
      <c r="B181" s="7" t="n">
        <v>12</v>
      </c>
      <c r="C181" s="8" t="s">
        <v>62</v>
      </c>
      <c r="D181" s="8" t="s">
        <v>63</v>
      </c>
      <c r="E181" s="7" t="n">
        <v>8</v>
      </c>
      <c r="F181" s="7" t="n">
        <v>6</v>
      </c>
      <c r="G181" s="7" t="n">
        <v>0</v>
      </c>
      <c r="H181" s="7" t="n">
        <v>14</v>
      </c>
      <c r="I181" s="8" t="str">
        <f aca="false">E181&amp;"-"&amp;F181&amp;"-"&amp;G181</f>
        <v>8-6-0</v>
      </c>
      <c r="J181" s="9" t="n">
        <f aca="false">(E181+0.5*G181)/H181</f>
        <v>0.571428571428571</v>
      </c>
      <c r="K181" s="10" t="n">
        <v>1494.82</v>
      </c>
      <c r="L181" s="11" t="n">
        <f aca="false">K181/H181</f>
        <v>106.772857142857</v>
      </c>
      <c r="M181" s="7" t="n">
        <f aca="false">SUMPRODUCT(($A$2:$A$181=A181)*($K$2:$K$181&gt;K181))+1</f>
        <v>6</v>
      </c>
      <c r="N181" s="7" t="n">
        <v>5</v>
      </c>
      <c r="O181" s="7" t="n">
        <f aca="false">IF(N181&lt;=6,1,0)</f>
        <v>1</v>
      </c>
      <c r="P181" s="7" t="n">
        <f aca="false">IF(N181=1,1,0)</f>
        <v>0</v>
      </c>
      <c r="Q181" s="7" t="n">
        <f aca="false">IF(N181&lt;=2,1,0)</f>
        <v>0</v>
      </c>
      <c r="R181" s="7" t="n">
        <f aca="false">IF(N181&lt;=3,1,0)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7" t="s">
        <v>113</v>
      </c>
    </row>
    <row r="2" customFormat="false" ht="15" hidden="false" customHeight="false" outlineLevel="0" collapsed="false">
      <c r="A2" s="18" t="s">
        <v>114</v>
      </c>
    </row>
    <row r="4" customFormat="false" ht="15" hidden="false" customHeight="false" outlineLevel="0" collapsed="false">
      <c r="A4" s="6" t="s">
        <v>16</v>
      </c>
      <c r="B4" s="6" t="s">
        <v>44</v>
      </c>
      <c r="C4" s="6" t="s">
        <v>45</v>
      </c>
      <c r="D4" s="6" t="s">
        <v>50</v>
      </c>
      <c r="E4" s="6" t="s">
        <v>18</v>
      </c>
      <c r="F4" s="6" t="s">
        <v>20</v>
      </c>
      <c r="G4" s="6" t="s">
        <v>22</v>
      </c>
      <c r="H4" s="6" t="s">
        <v>24</v>
      </c>
      <c r="I4" s="6" t="s">
        <v>26</v>
      </c>
      <c r="J4" s="6" t="s">
        <v>115</v>
      </c>
    </row>
    <row r="5" customFormat="false" ht="15" hidden="false" customHeight="false" outlineLevel="0" collapsed="false">
      <c r="A5" s="12" t="n">
        <f aca="false">'All Seasons'!B2</f>
        <v>1</v>
      </c>
      <c r="B5" s="13" t="str">
        <f aca="false">'All Seasons'!C2</f>
        <v>Going Postal</v>
      </c>
      <c r="C5" s="13" t="str">
        <f aca="false">'All Seasons'!D2</f>
        <v>Steve</v>
      </c>
      <c r="D5" s="12" t="str">
        <f aca="false">'All Seasons'!I2</f>
        <v>6-7-0</v>
      </c>
      <c r="E5" s="19" t="n">
        <f aca="false">'All Seasons'!J2</f>
        <v>0.461538461538462</v>
      </c>
      <c r="F5" s="15" t="n">
        <f aca="false">'All Seasons'!K2</f>
        <v>1299</v>
      </c>
      <c r="G5" s="20" t="n">
        <f aca="false">'All Seasons'!L2</f>
        <v>99.9230769230769</v>
      </c>
      <c r="H5" s="12" t="n">
        <f aca="false">'All Seasons'!M2</f>
        <v>6</v>
      </c>
      <c r="I5" s="12" t="n">
        <f aca="false">'All Seasons'!N2</f>
        <v>1</v>
      </c>
      <c r="J5" s="12" t="str">
        <f aca="false">IF('All Seasons'!O2=1,"YES","-")</f>
        <v>YES</v>
      </c>
    </row>
    <row r="6" customFormat="false" ht="15" hidden="false" customHeight="false" outlineLevel="0" collapsed="false">
      <c r="A6" s="12" t="n">
        <f aca="false">'All Seasons'!B3</f>
        <v>2</v>
      </c>
      <c r="B6" s="13" t="str">
        <f aca="false">'All Seasons'!C3</f>
        <v>Scott's Scabs</v>
      </c>
      <c r="C6" s="13" t="str">
        <f aca="false">'All Seasons'!D3</f>
        <v>Scott</v>
      </c>
      <c r="D6" s="12" t="str">
        <f aca="false">'All Seasons'!I3</f>
        <v>11-2-0</v>
      </c>
      <c r="E6" s="19" t="n">
        <f aca="false">'All Seasons'!J3</f>
        <v>0.846153846153846</v>
      </c>
      <c r="F6" s="15" t="n">
        <f aca="false">'All Seasons'!K3</f>
        <v>1480</v>
      </c>
      <c r="G6" s="20" t="n">
        <f aca="false">'All Seasons'!L3</f>
        <v>113.846153846154</v>
      </c>
      <c r="H6" s="12" t="n">
        <f aca="false">'All Seasons'!M3</f>
        <v>3</v>
      </c>
      <c r="I6" s="12" t="n">
        <f aca="false">'All Seasons'!N3</f>
        <v>2</v>
      </c>
      <c r="J6" s="12" t="str">
        <f aca="false">IF('All Seasons'!O3=1,"YES","-")</f>
        <v>YES</v>
      </c>
    </row>
    <row r="7" customFormat="false" ht="15" hidden="false" customHeight="false" outlineLevel="0" collapsed="false">
      <c r="A7" s="12" t="n">
        <f aca="false">'All Seasons'!B4</f>
        <v>3</v>
      </c>
      <c r="B7" s="13" t="str">
        <f aca="false">'All Seasons'!C4</f>
        <v>RedNecks</v>
      </c>
      <c r="C7" s="13" t="str">
        <f aca="false">'All Seasons'!D4</f>
        <v>Jim</v>
      </c>
      <c r="D7" s="12" t="str">
        <f aca="false">'All Seasons'!I4</f>
        <v>6-7-0</v>
      </c>
      <c r="E7" s="19" t="n">
        <f aca="false">'All Seasons'!J4</f>
        <v>0.461538461538462</v>
      </c>
      <c r="F7" s="15" t="n">
        <f aca="false">'All Seasons'!K4</f>
        <v>1231</v>
      </c>
      <c r="G7" s="20" t="n">
        <f aca="false">'All Seasons'!L4</f>
        <v>94.6923076923077</v>
      </c>
      <c r="H7" s="12" t="n">
        <f aca="false">'All Seasons'!M4</f>
        <v>8</v>
      </c>
      <c r="I7" s="12" t="n">
        <f aca="false">'All Seasons'!N4</f>
        <v>10</v>
      </c>
      <c r="J7" s="12" t="str">
        <f aca="false">IF('All Seasons'!O4=1,"YES","-")</f>
        <v>-</v>
      </c>
    </row>
    <row r="8" customFormat="false" ht="15" hidden="false" customHeight="false" outlineLevel="0" collapsed="false">
      <c r="A8" s="12" t="n">
        <f aca="false">'All Seasons'!B5</f>
        <v>4</v>
      </c>
      <c r="B8" s="13" t="str">
        <f aca="false">'All Seasons'!C5</f>
        <v>Big Red Machine</v>
      </c>
      <c r="C8" s="13" t="str">
        <f aca="false">'All Seasons'!D5</f>
        <v>Cory</v>
      </c>
      <c r="D8" s="12" t="str">
        <f aca="false">'All Seasons'!I5</f>
        <v>9-4-0</v>
      </c>
      <c r="E8" s="19" t="n">
        <f aca="false">'All Seasons'!J5</f>
        <v>0.692307692307692</v>
      </c>
      <c r="F8" s="15" t="n">
        <f aca="false">'All Seasons'!K5</f>
        <v>1608</v>
      </c>
      <c r="G8" s="20" t="n">
        <f aca="false">'All Seasons'!L5</f>
        <v>123.692307692308</v>
      </c>
      <c r="H8" s="12" t="n">
        <f aca="false">'All Seasons'!M5</f>
        <v>2</v>
      </c>
      <c r="I8" s="12" t="n">
        <f aca="false">'All Seasons'!N5</f>
        <v>4</v>
      </c>
      <c r="J8" s="12" t="str">
        <f aca="false">IF('All Seasons'!O5=1,"YES","-")</f>
        <v>YES</v>
      </c>
    </row>
    <row r="9" customFormat="false" ht="15" hidden="false" customHeight="false" outlineLevel="0" collapsed="false">
      <c r="A9" s="12" t="n">
        <f aca="false">'All Seasons'!B6</f>
        <v>5</v>
      </c>
      <c r="B9" s="13" t="str">
        <f aca="false">'All Seasons'!C6</f>
        <v>RedZone480</v>
      </c>
      <c r="C9" s="13" t="str">
        <f aca="false">'All Seasons'!D6</f>
        <v>Robert</v>
      </c>
      <c r="D9" s="12" t="str">
        <f aca="false">'All Seasons'!I6</f>
        <v>12-1-0</v>
      </c>
      <c r="E9" s="19" t="n">
        <f aca="false">'All Seasons'!J6</f>
        <v>0.923076923076923</v>
      </c>
      <c r="F9" s="15" t="n">
        <f aca="false">'All Seasons'!K6</f>
        <v>1670</v>
      </c>
      <c r="G9" s="20" t="n">
        <f aca="false">'All Seasons'!L6</f>
        <v>128.461538461538</v>
      </c>
      <c r="H9" s="12" t="n">
        <f aca="false">'All Seasons'!M6</f>
        <v>1</v>
      </c>
      <c r="I9" s="12" t="n">
        <f aca="false">'All Seasons'!N6</f>
        <v>3</v>
      </c>
      <c r="J9" s="12" t="str">
        <f aca="false">IF('All Seasons'!O6=1,"YES","-")</f>
        <v>YES</v>
      </c>
    </row>
    <row r="10" customFormat="false" ht="15" hidden="false" customHeight="false" outlineLevel="0" collapsed="false">
      <c r="A10" s="12" t="n">
        <f aca="false">'All Seasons'!B7</f>
        <v>6</v>
      </c>
      <c r="B10" s="13" t="str">
        <f aca="false">'All Seasons'!C7</f>
        <v>Donkey Punchers</v>
      </c>
      <c r="C10" s="13" t="str">
        <f aca="false">'All Seasons'!D7</f>
        <v>Barrett</v>
      </c>
      <c r="D10" s="12" t="str">
        <f aca="false">'All Seasons'!I7</f>
        <v>4-9-0</v>
      </c>
      <c r="E10" s="19" t="n">
        <f aca="false">'All Seasons'!J7</f>
        <v>0.307692307692308</v>
      </c>
      <c r="F10" s="15" t="n">
        <f aca="false">'All Seasons'!K7</f>
        <v>1187</v>
      </c>
      <c r="G10" s="20" t="n">
        <f aca="false">'All Seasons'!L7</f>
        <v>91.3076923076923</v>
      </c>
      <c r="H10" s="12" t="n">
        <f aca="false">'All Seasons'!M7</f>
        <v>11</v>
      </c>
      <c r="I10" s="12" t="n">
        <f aca="false">'All Seasons'!N7</f>
        <v>12</v>
      </c>
      <c r="J10" s="12" t="str">
        <f aca="false">IF('All Seasons'!O7=1,"YES","-")</f>
        <v>-</v>
      </c>
    </row>
    <row r="11" customFormat="false" ht="15" hidden="false" customHeight="false" outlineLevel="0" collapsed="false">
      <c r="A11" s="12" t="n">
        <f aca="false">'All Seasons'!B8</f>
        <v>7</v>
      </c>
      <c r="B11" s="13" t="str">
        <f aca="false">'All Seasons'!C8</f>
        <v>Closer</v>
      </c>
      <c r="C11" s="13" t="str">
        <f aca="false">'All Seasons'!D8</f>
        <v>Rick</v>
      </c>
      <c r="D11" s="12" t="str">
        <f aca="false">'All Seasons'!I8</f>
        <v>1-12-0</v>
      </c>
      <c r="E11" s="19" t="n">
        <f aca="false">'All Seasons'!J8</f>
        <v>0.0769230769230769</v>
      </c>
      <c r="F11" s="15" t="n">
        <f aca="false">'All Seasons'!K8</f>
        <v>1076</v>
      </c>
      <c r="G11" s="20" t="n">
        <f aca="false">'All Seasons'!L8</f>
        <v>82.7692307692308</v>
      </c>
      <c r="H11" s="12" t="n">
        <f aca="false">'All Seasons'!M8</f>
        <v>12</v>
      </c>
      <c r="I11" s="12" t="n">
        <f aca="false">'All Seasons'!N8</f>
        <v>9</v>
      </c>
      <c r="J11" s="12" t="str">
        <f aca="false">IF('All Seasons'!O8=1,"YES","-")</f>
        <v>-</v>
      </c>
    </row>
    <row r="12" customFormat="false" ht="15" hidden="false" customHeight="false" outlineLevel="0" collapsed="false">
      <c r="A12" s="12" t="n">
        <f aca="false">'All Seasons'!B9</f>
        <v>8</v>
      </c>
      <c r="B12" s="13" t="str">
        <f aca="false">'All Seasons'!C9</f>
        <v>MochaMessiahMadeMe$$</v>
      </c>
      <c r="C12" s="13" t="str">
        <f aca="false">'All Seasons'!D9</f>
        <v>Keith</v>
      </c>
      <c r="D12" s="12" t="str">
        <f aca="false">'All Seasons'!I9</f>
        <v>4-9-0</v>
      </c>
      <c r="E12" s="19" t="n">
        <f aca="false">'All Seasons'!J9</f>
        <v>0.307692307692308</v>
      </c>
      <c r="F12" s="15" t="n">
        <f aca="false">'All Seasons'!K9</f>
        <v>1322</v>
      </c>
      <c r="G12" s="20" t="n">
        <f aca="false">'All Seasons'!L9</f>
        <v>101.692307692308</v>
      </c>
      <c r="H12" s="12" t="n">
        <f aca="false">'All Seasons'!M9</f>
        <v>5</v>
      </c>
      <c r="I12" s="12" t="n">
        <f aca="false">'All Seasons'!N9</f>
        <v>7</v>
      </c>
      <c r="J12" s="12" t="str">
        <f aca="false">IF('All Seasons'!O9=1,"YES","-")</f>
        <v>-</v>
      </c>
    </row>
    <row r="13" customFormat="false" ht="15" hidden="false" customHeight="false" outlineLevel="0" collapsed="false">
      <c r="A13" s="12" t="n">
        <f aca="false">'All Seasons'!B10</f>
        <v>9</v>
      </c>
      <c r="B13" s="13" t="str">
        <f aca="false">'All Seasons'!C10</f>
        <v>Vandalay Industries</v>
      </c>
      <c r="C13" s="13" t="str">
        <f aca="false">'All Seasons'!D10</f>
        <v>John</v>
      </c>
      <c r="D13" s="12" t="str">
        <f aca="false">'All Seasons'!I10</f>
        <v>6-7-0</v>
      </c>
      <c r="E13" s="19" t="n">
        <f aca="false">'All Seasons'!J10</f>
        <v>0.461538461538462</v>
      </c>
      <c r="F13" s="15" t="n">
        <f aca="false">'All Seasons'!K10</f>
        <v>1331</v>
      </c>
      <c r="G13" s="20" t="n">
        <f aca="false">'All Seasons'!L10</f>
        <v>102.384615384615</v>
      </c>
      <c r="H13" s="12" t="n">
        <f aca="false">'All Seasons'!M10</f>
        <v>4</v>
      </c>
      <c r="I13" s="12" t="n">
        <f aca="false">'All Seasons'!N10</f>
        <v>6</v>
      </c>
      <c r="J13" s="12" t="str">
        <f aca="false">IF('All Seasons'!O10=1,"YES","-")</f>
        <v>YES</v>
      </c>
    </row>
    <row r="14" customFormat="false" ht="15" hidden="false" customHeight="false" outlineLevel="0" collapsed="false">
      <c r="A14" s="12" t="n">
        <f aca="false">'All Seasons'!B11</f>
        <v>10</v>
      </c>
      <c r="B14" s="13" t="str">
        <f aca="false">'All Seasons'!C11</f>
        <v>AssKickers</v>
      </c>
      <c r="C14" s="13" t="str">
        <f aca="false">'All Seasons'!D11</f>
        <v>Rob M</v>
      </c>
      <c r="D14" s="12" t="str">
        <f aca="false">'All Seasons'!I11</f>
        <v>6-7-0</v>
      </c>
      <c r="E14" s="19" t="n">
        <f aca="false">'All Seasons'!J11</f>
        <v>0.461538461538462</v>
      </c>
      <c r="F14" s="15" t="n">
        <f aca="false">'All Seasons'!K11</f>
        <v>1225</v>
      </c>
      <c r="G14" s="20" t="n">
        <f aca="false">'All Seasons'!L11</f>
        <v>94.2307692307692</v>
      </c>
      <c r="H14" s="12" t="n">
        <f aca="false">'All Seasons'!M11</f>
        <v>9</v>
      </c>
      <c r="I14" s="12" t="n">
        <f aca="false">'All Seasons'!N11</f>
        <v>11</v>
      </c>
      <c r="J14" s="12" t="str">
        <f aca="false">IF('All Seasons'!O11=1,"YES","-")</f>
        <v>-</v>
      </c>
    </row>
    <row r="15" customFormat="false" ht="15" hidden="false" customHeight="false" outlineLevel="0" collapsed="false">
      <c r="A15" s="12" t="n">
        <f aca="false">'All Seasons'!B12</f>
        <v>11</v>
      </c>
      <c r="B15" s="13" t="str">
        <f aca="false">'All Seasons'!C12</f>
        <v>Crackerman</v>
      </c>
      <c r="C15" s="13" t="str">
        <f aca="false">'All Seasons'!D12</f>
        <v>Michael M</v>
      </c>
      <c r="D15" s="12" t="str">
        <f aca="false">'All Seasons'!I12</f>
        <v>6-7-0</v>
      </c>
      <c r="E15" s="19" t="n">
        <f aca="false">'All Seasons'!J12</f>
        <v>0.461538461538462</v>
      </c>
      <c r="F15" s="15" t="n">
        <f aca="false">'All Seasons'!K12</f>
        <v>1271</v>
      </c>
      <c r="G15" s="20" t="n">
        <f aca="false">'All Seasons'!L12</f>
        <v>97.7692307692308</v>
      </c>
      <c r="H15" s="12" t="n">
        <f aca="false">'All Seasons'!M12</f>
        <v>7</v>
      </c>
      <c r="I15" s="12" t="n">
        <f aca="false">'All Seasons'!N12</f>
        <v>8</v>
      </c>
      <c r="J15" s="12" t="str">
        <f aca="false">IF('All Seasons'!O12=1,"YES","-")</f>
        <v>-</v>
      </c>
    </row>
    <row r="16" customFormat="false" ht="15" hidden="false" customHeight="false" outlineLevel="0" collapsed="false">
      <c r="A16" s="12" t="n">
        <f aca="false">'All Seasons'!B13</f>
        <v>12</v>
      </c>
      <c r="B16" s="13" t="str">
        <f aca="false">'All Seasons'!C13</f>
        <v>Spike's Chupacabras</v>
      </c>
      <c r="C16" s="13" t="str">
        <f aca="false">'All Seasons'!D13</f>
        <v>Spike</v>
      </c>
      <c r="D16" s="12" t="str">
        <f aca="false">'All Seasons'!I13</f>
        <v>7-6-0</v>
      </c>
      <c r="E16" s="19" t="n">
        <f aca="false">'All Seasons'!J13</f>
        <v>0.538461538461538</v>
      </c>
      <c r="F16" s="15" t="n">
        <f aca="false">'All Seasons'!K13</f>
        <v>1206</v>
      </c>
      <c r="G16" s="20" t="n">
        <f aca="false">'All Seasons'!L13</f>
        <v>92.7692307692308</v>
      </c>
      <c r="H16" s="12" t="n">
        <f aca="false">'All Seasons'!M13</f>
        <v>10</v>
      </c>
      <c r="I16" s="12" t="n">
        <f aca="false">'All Seasons'!N13</f>
        <v>5</v>
      </c>
      <c r="J16" s="12" t="str">
        <f aca="false">IF('All Seasons'!O13=1,"YES","-")</f>
        <v>YES</v>
      </c>
    </row>
    <row r="17" customFormat="false" ht="15" hidden="false" customHeight="false" outlineLevel="0" collapsed="false">
      <c r="B17" s="21" t="s">
        <v>116</v>
      </c>
      <c r="E17" s="22" t="n">
        <f aca="false">AVERAGE(E5:E16)</f>
        <v>0.5</v>
      </c>
      <c r="F17" s="23" t="n">
        <f aca="false">SUM(F5:F16)</f>
        <v>15906</v>
      </c>
      <c r="G17" s="24" t="n">
        <f aca="false">AVERAGE(G5:G16)</f>
        <v>101.961538461538</v>
      </c>
    </row>
    <row r="19" customFormat="false" ht="15" hidden="false" customHeight="false" outlineLevel="0" collapsed="false">
      <c r="A19" s="25" t="s">
        <v>117</v>
      </c>
    </row>
    <row r="20" customFormat="false" ht="15" hidden="false" customHeight="false" outlineLevel="0" collapsed="false">
      <c r="A20" s="3" t="s">
        <v>18</v>
      </c>
      <c r="C20" s="26" t="n">
        <f aca="false">CORREL($A$5:$A$16,E5:E16)</f>
        <v>-0.316194921989744</v>
      </c>
    </row>
    <row r="21" customFormat="false" ht="15" hidden="false" customHeight="false" outlineLevel="0" collapsed="false">
      <c r="A21" s="3" t="s">
        <v>22</v>
      </c>
      <c r="C21" s="26" t="n">
        <f aca="false">CORREL($A$5:$A$16,G5:G16)</f>
        <v>-0.392914845888617</v>
      </c>
    </row>
    <row r="22" customFormat="false" ht="15" hidden="false" customHeight="false" outlineLevel="0" collapsed="false">
      <c r="A22" s="3" t="s">
        <v>118</v>
      </c>
      <c r="C22" s="26" t="n">
        <f aca="false">CORREL($A$5:$A$16,H5:H16)</f>
        <v>0.384615384615385</v>
      </c>
    </row>
    <row r="23" customFormat="false" ht="15" hidden="false" customHeight="false" outlineLevel="0" collapsed="false">
      <c r="A23" s="3" t="s">
        <v>119</v>
      </c>
      <c r="C23" s="26" t="n">
        <f aca="false">CORREL($A$5:$A$16,I5:I16)</f>
        <v>0.433566433566434</v>
      </c>
    </row>
    <row r="24" customFormat="false" ht="15" hidden="false" customHeight="false" outlineLevel="0" collapsed="false">
      <c r="A24" s="2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7" t="s">
        <v>121</v>
      </c>
    </row>
    <row r="2" customFormat="false" ht="15" hidden="false" customHeight="false" outlineLevel="0" collapsed="false">
      <c r="A2" s="18" t="s">
        <v>114</v>
      </c>
    </row>
    <row r="4" customFormat="false" ht="15" hidden="false" customHeight="false" outlineLevel="0" collapsed="false">
      <c r="A4" s="6" t="s">
        <v>16</v>
      </c>
      <c r="B4" s="6" t="s">
        <v>44</v>
      </c>
      <c r="C4" s="6" t="s">
        <v>45</v>
      </c>
      <c r="D4" s="6" t="s">
        <v>50</v>
      </c>
      <c r="E4" s="6" t="s">
        <v>18</v>
      </c>
      <c r="F4" s="6" t="s">
        <v>20</v>
      </c>
      <c r="G4" s="6" t="s">
        <v>22</v>
      </c>
      <c r="H4" s="6" t="s">
        <v>24</v>
      </c>
      <c r="I4" s="6" t="s">
        <v>26</v>
      </c>
      <c r="J4" s="6" t="s">
        <v>115</v>
      </c>
    </row>
    <row r="5" customFormat="false" ht="15" hidden="false" customHeight="false" outlineLevel="0" collapsed="false">
      <c r="A5" s="12" t="n">
        <f aca="false">'All Seasons'!B14</f>
        <v>1</v>
      </c>
      <c r="B5" s="13" t="str">
        <f aca="false">'All Seasons'!C14</f>
        <v>Crackerman</v>
      </c>
      <c r="C5" s="13" t="str">
        <f aca="false">'All Seasons'!D14</f>
        <v>Michael M</v>
      </c>
      <c r="D5" s="12" t="str">
        <f aca="false">'All Seasons'!I14</f>
        <v>3-10-0</v>
      </c>
      <c r="E5" s="19" t="n">
        <f aca="false">'All Seasons'!J14</f>
        <v>0.230769230769231</v>
      </c>
      <c r="F5" s="15" t="n">
        <f aca="false">'All Seasons'!K14</f>
        <v>1309</v>
      </c>
      <c r="G5" s="20" t="n">
        <f aca="false">'All Seasons'!L14</f>
        <v>100.692307692308</v>
      </c>
      <c r="H5" s="12" t="n">
        <f aca="false">'All Seasons'!M14</f>
        <v>7</v>
      </c>
      <c r="I5" s="12" t="n">
        <f aca="false">'All Seasons'!N14</f>
        <v>11</v>
      </c>
      <c r="J5" s="12" t="str">
        <f aca="false">IF('All Seasons'!O14=1,"YES","-")</f>
        <v>-</v>
      </c>
    </row>
    <row r="6" customFormat="false" ht="15" hidden="false" customHeight="false" outlineLevel="0" collapsed="false">
      <c r="A6" s="12" t="n">
        <f aca="false">'All Seasons'!B15</f>
        <v>2</v>
      </c>
      <c r="B6" s="13" t="str">
        <f aca="false">'All Seasons'!C15</f>
        <v>Spike's Chupacabras</v>
      </c>
      <c r="C6" s="13" t="str">
        <f aca="false">'All Seasons'!D15</f>
        <v>Spike</v>
      </c>
      <c r="D6" s="12" t="str">
        <f aca="false">'All Seasons'!I15</f>
        <v>5-8-0</v>
      </c>
      <c r="E6" s="19" t="n">
        <f aca="false">'All Seasons'!J15</f>
        <v>0.384615384615385</v>
      </c>
      <c r="F6" s="15" t="n">
        <f aca="false">'All Seasons'!K15</f>
        <v>1368</v>
      </c>
      <c r="G6" s="20" t="n">
        <f aca="false">'All Seasons'!L15</f>
        <v>105.230769230769</v>
      </c>
      <c r="H6" s="12" t="n">
        <f aca="false">'All Seasons'!M15</f>
        <v>4</v>
      </c>
      <c r="I6" s="12" t="n">
        <f aca="false">'All Seasons'!N15</f>
        <v>10</v>
      </c>
      <c r="J6" s="12" t="str">
        <f aca="false">IF('All Seasons'!O15=1,"YES","-")</f>
        <v>-</v>
      </c>
    </row>
    <row r="7" customFormat="false" ht="15" hidden="false" customHeight="false" outlineLevel="0" collapsed="false">
      <c r="A7" s="12" t="n">
        <f aca="false">'All Seasons'!B16</f>
        <v>3</v>
      </c>
      <c r="B7" s="13" t="str">
        <f aca="false">'All Seasons'!C16</f>
        <v>AssKickers</v>
      </c>
      <c r="C7" s="13" t="str">
        <f aca="false">'All Seasons'!D16</f>
        <v>Rob M</v>
      </c>
      <c r="D7" s="12" t="str">
        <f aca="false">'All Seasons'!I16</f>
        <v>7-6-0</v>
      </c>
      <c r="E7" s="19" t="n">
        <f aca="false">'All Seasons'!J16</f>
        <v>0.538461538461538</v>
      </c>
      <c r="F7" s="15" t="n">
        <f aca="false">'All Seasons'!K16</f>
        <v>1321</v>
      </c>
      <c r="G7" s="20" t="n">
        <f aca="false">'All Seasons'!L16</f>
        <v>101.615384615385</v>
      </c>
      <c r="H7" s="12" t="n">
        <f aca="false">'All Seasons'!M16</f>
        <v>6</v>
      </c>
      <c r="I7" s="12" t="n">
        <f aca="false">'All Seasons'!N16</f>
        <v>4</v>
      </c>
      <c r="J7" s="12" t="str">
        <f aca="false">IF('All Seasons'!O16=1,"YES","-")</f>
        <v>YES</v>
      </c>
    </row>
    <row r="8" customFormat="false" ht="15" hidden="false" customHeight="false" outlineLevel="0" collapsed="false">
      <c r="A8" s="12" t="n">
        <f aca="false">'All Seasons'!B17</f>
        <v>4</v>
      </c>
      <c r="B8" s="13" t="str">
        <f aca="false">'All Seasons'!C17</f>
        <v>Donkey Punchers</v>
      </c>
      <c r="C8" s="13" t="str">
        <f aca="false">'All Seasons'!D17</f>
        <v>Barrett</v>
      </c>
      <c r="D8" s="12" t="str">
        <f aca="false">'All Seasons'!I17</f>
        <v>5-8-0</v>
      </c>
      <c r="E8" s="19" t="n">
        <f aca="false">'All Seasons'!J17</f>
        <v>0.384615384615385</v>
      </c>
      <c r="F8" s="15" t="n">
        <f aca="false">'All Seasons'!K17</f>
        <v>1234</v>
      </c>
      <c r="G8" s="20" t="n">
        <f aca="false">'All Seasons'!L17</f>
        <v>94.9230769230769</v>
      </c>
      <c r="H8" s="12" t="n">
        <f aca="false">'All Seasons'!M17</f>
        <v>11</v>
      </c>
      <c r="I8" s="12" t="n">
        <f aca="false">'All Seasons'!N17</f>
        <v>9</v>
      </c>
      <c r="J8" s="12" t="str">
        <f aca="false">IF('All Seasons'!O17=1,"YES","-")</f>
        <v>-</v>
      </c>
    </row>
    <row r="9" customFormat="false" ht="15" hidden="false" customHeight="false" outlineLevel="0" collapsed="false">
      <c r="A9" s="12" t="n">
        <f aca="false">'All Seasons'!B18</f>
        <v>5</v>
      </c>
      <c r="B9" s="13" t="str">
        <f aca="false">'All Seasons'!C18</f>
        <v>Big Red Machine</v>
      </c>
      <c r="C9" s="13" t="str">
        <f aca="false">'All Seasons'!D18</f>
        <v>Cory</v>
      </c>
      <c r="D9" s="12" t="str">
        <f aca="false">'All Seasons'!I18</f>
        <v>5-8-0</v>
      </c>
      <c r="E9" s="19" t="n">
        <f aca="false">'All Seasons'!J18</f>
        <v>0.384615384615385</v>
      </c>
      <c r="F9" s="15" t="n">
        <f aca="false">'All Seasons'!K18</f>
        <v>1297</v>
      </c>
      <c r="G9" s="20" t="n">
        <f aca="false">'All Seasons'!L18</f>
        <v>99.7692307692308</v>
      </c>
      <c r="H9" s="12" t="n">
        <f aca="false">'All Seasons'!M18</f>
        <v>9</v>
      </c>
      <c r="I9" s="12" t="n">
        <f aca="false">'All Seasons'!N18</f>
        <v>7</v>
      </c>
      <c r="J9" s="12" t="str">
        <f aca="false">IF('All Seasons'!O18=1,"YES","-")</f>
        <v>-</v>
      </c>
    </row>
    <row r="10" customFormat="false" ht="15" hidden="false" customHeight="false" outlineLevel="0" collapsed="false">
      <c r="A10" s="12" t="n">
        <f aca="false">'All Seasons'!B19</f>
        <v>6</v>
      </c>
      <c r="B10" s="13" t="str">
        <f aca="false">'All Seasons'!C19</f>
        <v>MochaMessiahMadeMe$$</v>
      </c>
      <c r="C10" s="13" t="str">
        <f aca="false">'All Seasons'!D19</f>
        <v>Keith</v>
      </c>
      <c r="D10" s="12" t="str">
        <f aca="false">'All Seasons'!I19</f>
        <v>9-4-0</v>
      </c>
      <c r="E10" s="19" t="n">
        <f aca="false">'All Seasons'!J19</f>
        <v>0.692307692307692</v>
      </c>
      <c r="F10" s="15" t="n">
        <f aca="false">'All Seasons'!K19</f>
        <v>1357</v>
      </c>
      <c r="G10" s="20" t="n">
        <f aca="false">'All Seasons'!L19</f>
        <v>104.384615384615</v>
      </c>
      <c r="H10" s="12" t="n">
        <f aca="false">'All Seasons'!M19</f>
        <v>5</v>
      </c>
      <c r="I10" s="12" t="n">
        <f aca="false">'All Seasons'!N19</f>
        <v>1</v>
      </c>
      <c r="J10" s="12" t="str">
        <f aca="false">IF('All Seasons'!O19=1,"YES","-")</f>
        <v>YES</v>
      </c>
    </row>
    <row r="11" customFormat="false" ht="15" hidden="false" customHeight="false" outlineLevel="0" collapsed="false">
      <c r="A11" s="12" t="n">
        <f aca="false">'All Seasons'!B20</f>
        <v>7</v>
      </c>
      <c r="B11" s="13" t="str">
        <f aca="false">'All Seasons'!C20</f>
        <v>Closer</v>
      </c>
      <c r="C11" s="13" t="str">
        <f aca="false">'All Seasons'!D20</f>
        <v>Rick</v>
      </c>
      <c r="D11" s="12" t="str">
        <f aca="false">'All Seasons'!I20</f>
        <v>5-8-0</v>
      </c>
      <c r="E11" s="19" t="n">
        <f aca="false">'All Seasons'!J20</f>
        <v>0.384615384615385</v>
      </c>
      <c r="F11" s="15" t="n">
        <f aca="false">'All Seasons'!K20</f>
        <v>1276</v>
      </c>
      <c r="G11" s="20" t="n">
        <f aca="false">'All Seasons'!L20</f>
        <v>98.1538461538462</v>
      </c>
      <c r="H11" s="12" t="n">
        <f aca="false">'All Seasons'!M20</f>
        <v>10</v>
      </c>
      <c r="I11" s="12" t="n">
        <f aca="false">'All Seasons'!N20</f>
        <v>12</v>
      </c>
      <c r="J11" s="12" t="str">
        <f aca="false">IF('All Seasons'!O20=1,"YES","-")</f>
        <v>-</v>
      </c>
    </row>
    <row r="12" customFormat="false" ht="15" hidden="false" customHeight="false" outlineLevel="0" collapsed="false">
      <c r="A12" s="12" t="n">
        <f aca="false">'All Seasons'!B21</f>
        <v>8</v>
      </c>
      <c r="B12" s="13" t="str">
        <f aca="false">'All Seasons'!C21</f>
        <v>Vandalay Industries</v>
      </c>
      <c r="C12" s="13" t="str">
        <f aca="false">'All Seasons'!D21</f>
        <v>John</v>
      </c>
      <c r="D12" s="12" t="str">
        <f aca="false">'All Seasons'!I21</f>
        <v>7-6-0</v>
      </c>
      <c r="E12" s="19" t="n">
        <f aca="false">'All Seasons'!J21</f>
        <v>0.538461538461538</v>
      </c>
      <c r="F12" s="15" t="n">
        <f aca="false">'All Seasons'!K21</f>
        <v>1417</v>
      </c>
      <c r="G12" s="20" t="n">
        <f aca="false">'All Seasons'!L21</f>
        <v>109</v>
      </c>
      <c r="H12" s="12" t="n">
        <f aca="false">'All Seasons'!M21</f>
        <v>3</v>
      </c>
      <c r="I12" s="12" t="n">
        <f aca="false">'All Seasons'!N21</f>
        <v>3</v>
      </c>
      <c r="J12" s="12" t="str">
        <f aca="false">IF('All Seasons'!O21=1,"YES","-")</f>
        <v>YES</v>
      </c>
    </row>
    <row r="13" customFormat="false" ht="15" hidden="false" customHeight="false" outlineLevel="0" collapsed="false">
      <c r="A13" s="12" t="n">
        <f aca="false">'All Seasons'!B22</f>
        <v>9</v>
      </c>
      <c r="B13" s="13" t="str">
        <f aca="false">'All Seasons'!C22</f>
        <v>Scott's Scabs</v>
      </c>
      <c r="C13" s="13" t="str">
        <f aca="false">'All Seasons'!D22</f>
        <v>Scott</v>
      </c>
      <c r="D13" s="12" t="str">
        <f aca="false">'All Seasons'!I22</f>
        <v>8-5-0</v>
      </c>
      <c r="E13" s="19" t="n">
        <f aca="false">'All Seasons'!J22</f>
        <v>0.615384615384615</v>
      </c>
      <c r="F13" s="15" t="n">
        <f aca="false">'All Seasons'!K22</f>
        <v>1302</v>
      </c>
      <c r="G13" s="20" t="n">
        <f aca="false">'All Seasons'!L22</f>
        <v>100.153846153846</v>
      </c>
      <c r="H13" s="12" t="n">
        <f aca="false">'All Seasons'!M22</f>
        <v>8</v>
      </c>
      <c r="I13" s="12" t="n">
        <f aca="false">'All Seasons'!N22</f>
        <v>6</v>
      </c>
      <c r="J13" s="12" t="str">
        <f aca="false">IF('All Seasons'!O22=1,"YES","-")</f>
        <v>YES</v>
      </c>
    </row>
    <row r="14" customFormat="false" ht="15" hidden="false" customHeight="false" outlineLevel="0" collapsed="false">
      <c r="A14" s="12" t="n">
        <f aca="false">'All Seasons'!B23</f>
        <v>10</v>
      </c>
      <c r="B14" s="13" t="str">
        <f aca="false">'All Seasons'!C23</f>
        <v>RedZone480</v>
      </c>
      <c r="C14" s="13" t="str">
        <f aca="false">'All Seasons'!D23</f>
        <v>Robert</v>
      </c>
      <c r="D14" s="12" t="str">
        <f aca="false">'All Seasons'!I23</f>
        <v>10-3-0</v>
      </c>
      <c r="E14" s="19" t="n">
        <f aca="false">'All Seasons'!J23</f>
        <v>0.769230769230769</v>
      </c>
      <c r="F14" s="15" t="n">
        <f aca="false">'All Seasons'!K23</f>
        <v>1458</v>
      </c>
      <c r="G14" s="20" t="n">
        <f aca="false">'All Seasons'!L23</f>
        <v>112.153846153846</v>
      </c>
      <c r="H14" s="12" t="n">
        <f aca="false">'All Seasons'!M23</f>
        <v>1</v>
      </c>
      <c r="I14" s="12" t="n">
        <f aca="false">'All Seasons'!N23</f>
        <v>2</v>
      </c>
      <c r="J14" s="12" t="str">
        <f aca="false">IF('All Seasons'!O23=1,"YES","-")</f>
        <v>YES</v>
      </c>
    </row>
    <row r="15" customFormat="false" ht="15" hidden="false" customHeight="false" outlineLevel="0" collapsed="false">
      <c r="A15" s="12" t="n">
        <f aca="false">'All Seasons'!B24</f>
        <v>11</v>
      </c>
      <c r="B15" s="13" t="str">
        <f aca="false">'All Seasons'!C24</f>
        <v>Going Postal</v>
      </c>
      <c r="C15" s="13" t="str">
        <f aca="false">'All Seasons'!D24</f>
        <v>Steve</v>
      </c>
      <c r="D15" s="12" t="str">
        <f aca="false">'All Seasons'!I24</f>
        <v>6-7-0</v>
      </c>
      <c r="E15" s="19" t="n">
        <f aca="false">'All Seasons'!J24</f>
        <v>0.461538461538462</v>
      </c>
      <c r="F15" s="15" t="n">
        <f aca="false">'All Seasons'!K24</f>
        <v>1455</v>
      </c>
      <c r="G15" s="20" t="n">
        <f aca="false">'All Seasons'!L24</f>
        <v>111.923076923077</v>
      </c>
      <c r="H15" s="12" t="n">
        <f aca="false">'All Seasons'!M24</f>
        <v>2</v>
      </c>
      <c r="I15" s="12" t="n">
        <f aca="false">'All Seasons'!N24</f>
        <v>8</v>
      </c>
      <c r="J15" s="12" t="str">
        <f aca="false">IF('All Seasons'!O24=1,"YES","-")</f>
        <v>-</v>
      </c>
    </row>
    <row r="16" customFormat="false" ht="15" hidden="false" customHeight="false" outlineLevel="0" collapsed="false">
      <c r="A16" s="12" t="n">
        <f aca="false">'All Seasons'!B25</f>
        <v>12</v>
      </c>
      <c r="B16" s="13" t="str">
        <f aca="false">'All Seasons'!C25</f>
        <v>RedNecks</v>
      </c>
      <c r="C16" s="13" t="str">
        <f aca="false">'All Seasons'!D25</f>
        <v>Jim</v>
      </c>
      <c r="D16" s="12" t="str">
        <f aca="false">'All Seasons'!I25</f>
        <v>8-5-0</v>
      </c>
      <c r="E16" s="19" t="n">
        <f aca="false">'All Seasons'!J25</f>
        <v>0.615384615384615</v>
      </c>
      <c r="F16" s="15" t="n">
        <f aca="false">'All Seasons'!K25</f>
        <v>1220</v>
      </c>
      <c r="G16" s="20" t="n">
        <f aca="false">'All Seasons'!L25</f>
        <v>93.8461538461538</v>
      </c>
      <c r="H16" s="12" t="n">
        <f aca="false">'All Seasons'!M25</f>
        <v>12</v>
      </c>
      <c r="I16" s="12" t="n">
        <f aca="false">'All Seasons'!N25</f>
        <v>5</v>
      </c>
      <c r="J16" s="12" t="str">
        <f aca="false">IF('All Seasons'!O25=1,"YES","-")</f>
        <v>YES</v>
      </c>
    </row>
    <row r="17" customFormat="false" ht="15" hidden="false" customHeight="false" outlineLevel="0" collapsed="false">
      <c r="B17" s="21" t="s">
        <v>116</v>
      </c>
      <c r="E17" s="22" t="n">
        <f aca="false">AVERAGE(E5:E16)</f>
        <v>0.5</v>
      </c>
      <c r="F17" s="23" t="n">
        <f aca="false">SUM(F5:F16)</f>
        <v>16014</v>
      </c>
      <c r="G17" s="24" t="n">
        <f aca="false">AVERAGE(G5:G16)</f>
        <v>102.653846153846</v>
      </c>
    </row>
    <row r="19" customFormat="false" ht="15" hidden="false" customHeight="false" outlineLevel="0" collapsed="false">
      <c r="A19" s="25" t="s">
        <v>117</v>
      </c>
    </row>
    <row r="20" customFormat="false" ht="15" hidden="false" customHeight="false" outlineLevel="0" collapsed="false">
      <c r="A20" s="3" t="s">
        <v>18</v>
      </c>
      <c r="C20" s="26" t="n">
        <f aca="false">CORREL($A$5:$A$16,E5:E16)</f>
        <v>0.635763953205751</v>
      </c>
    </row>
    <row r="21" customFormat="false" ht="15" hidden="false" customHeight="false" outlineLevel="0" collapsed="false">
      <c r="A21" s="3" t="s">
        <v>22</v>
      </c>
      <c r="C21" s="26" t="n">
        <f aca="false">CORREL($A$5:$A$16,G5:G16)</f>
        <v>0.22137312638399</v>
      </c>
    </row>
    <row r="22" customFormat="false" ht="15" hidden="false" customHeight="false" outlineLevel="0" collapsed="false">
      <c r="A22" s="3" t="s">
        <v>118</v>
      </c>
      <c r="C22" s="26" t="n">
        <f aca="false">CORREL($A$5:$A$16,H5:H16)</f>
        <v>-0.0909090909090909</v>
      </c>
    </row>
    <row r="23" customFormat="false" ht="15" hidden="false" customHeight="false" outlineLevel="0" collapsed="false">
      <c r="A23" s="3" t="s">
        <v>119</v>
      </c>
      <c r="C23" s="26" t="n">
        <f aca="false">CORREL($A$5:$A$16,I5:I16)</f>
        <v>-0.398601398601399</v>
      </c>
    </row>
    <row r="24" customFormat="false" ht="15" hidden="false" customHeight="false" outlineLevel="0" collapsed="false">
      <c r="A24" s="2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7" t="s">
        <v>122</v>
      </c>
    </row>
    <row r="2" customFormat="false" ht="15" hidden="false" customHeight="false" outlineLevel="0" collapsed="false">
      <c r="A2" s="18" t="s">
        <v>114</v>
      </c>
    </row>
    <row r="4" customFormat="false" ht="15" hidden="false" customHeight="false" outlineLevel="0" collapsed="false">
      <c r="A4" s="6" t="s">
        <v>16</v>
      </c>
      <c r="B4" s="6" t="s">
        <v>44</v>
      </c>
      <c r="C4" s="6" t="s">
        <v>45</v>
      </c>
      <c r="D4" s="6" t="s">
        <v>50</v>
      </c>
      <c r="E4" s="6" t="s">
        <v>18</v>
      </c>
      <c r="F4" s="6" t="s">
        <v>20</v>
      </c>
      <c r="G4" s="6" t="s">
        <v>22</v>
      </c>
      <c r="H4" s="6" t="s">
        <v>24</v>
      </c>
      <c r="I4" s="6" t="s">
        <v>26</v>
      </c>
      <c r="J4" s="6" t="s">
        <v>115</v>
      </c>
    </row>
    <row r="5" customFormat="false" ht="15" hidden="false" customHeight="false" outlineLevel="0" collapsed="false">
      <c r="A5" s="12" t="n">
        <f aca="false">'All Seasons'!B26</f>
        <v>1</v>
      </c>
      <c r="B5" s="13" t="str">
        <f aca="false">'All Seasons'!C26</f>
        <v>Going Postal</v>
      </c>
      <c r="C5" s="13" t="str">
        <f aca="false">'All Seasons'!D26</f>
        <v>Steve</v>
      </c>
      <c r="D5" s="12" t="str">
        <f aca="false">'All Seasons'!I26</f>
        <v>7-6-0</v>
      </c>
      <c r="E5" s="19" t="n">
        <f aca="false">'All Seasons'!J26</f>
        <v>0.538461538461538</v>
      </c>
      <c r="F5" s="15" t="n">
        <f aca="false">'All Seasons'!K26</f>
        <v>1272</v>
      </c>
      <c r="G5" s="20" t="n">
        <f aca="false">'All Seasons'!L26</f>
        <v>97.8461538461538</v>
      </c>
      <c r="H5" s="12" t="n">
        <f aca="false">'All Seasons'!M26</f>
        <v>11</v>
      </c>
      <c r="I5" s="12" t="n">
        <f aca="false">'All Seasons'!N26</f>
        <v>9</v>
      </c>
      <c r="J5" s="12" t="str">
        <f aca="false">IF('All Seasons'!O26=1,"YES","-")</f>
        <v>-</v>
      </c>
    </row>
    <row r="6" customFormat="false" ht="15" hidden="false" customHeight="false" outlineLevel="0" collapsed="false">
      <c r="A6" s="12" t="n">
        <f aca="false">'All Seasons'!B27</f>
        <v>2</v>
      </c>
      <c r="B6" s="13" t="str">
        <f aca="false">'All Seasons'!C27</f>
        <v>Vandalay Industries</v>
      </c>
      <c r="C6" s="13" t="str">
        <f aca="false">'All Seasons'!D27</f>
        <v>John</v>
      </c>
      <c r="D6" s="12" t="str">
        <f aca="false">'All Seasons'!I27</f>
        <v>9-4-0</v>
      </c>
      <c r="E6" s="19" t="n">
        <f aca="false">'All Seasons'!J27</f>
        <v>0.692307692307692</v>
      </c>
      <c r="F6" s="15" t="n">
        <f aca="false">'All Seasons'!K27</f>
        <v>1449</v>
      </c>
      <c r="G6" s="20" t="n">
        <f aca="false">'All Seasons'!L27</f>
        <v>111.461538461538</v>
      </c>
      <c r="H6" s="12" t="n">
        <f aca="false">'All Seasons'!M27</f>
        <v>3</v>
      </c>
      <c r="I6" s="12" t="n">
        <f aca="false">'All Seasons'!N27</f>
        <v>2</v>
      </c>
      <c r="J6" s="12" t="str">
        <f aca="false">IF('All Seasons'!O27=1,"YES","-")</f>
        <v>YES</v>
      </c>
    </row>
    <row r="7" customFormat="false" ht="15" hidden="false" customHeight="false" outlineLevel="0" collapsed="false">
      <c r="A7" s="12" t="n">
        <f aca="false">'All Seasons'!B28</f>
        <v>3</v>
      </c>
      <c r="B7" s="13" t="str">
        <f aca="false">'All Seasons'!C28</f>
        <v>Donkey Punchers</v>
      </c>
      <c r="C7" s="13" t="str">
        <f aca="false">'All Seasons'!D28</f>
        <v>Barrett</v>
      </c>
      <c r="D7" s="12" t="str">
        <f aca="false">'All Seasons'!I28</f>
        <v>4-9-0</v>
      </c>
      <c r="E7" s="19" t="n">
        <f aca="false">'All Seasons'!J28</f>
        <v>0.307692307692308</v>
      </c>
      <c r="F7" s="15" t="n">
        <f aca="false">'All Seasons'!K28</f>
        <v>1297</v>
      </c>
      <c r="G7" s="20" t="n">
        <f aca="false">'All Seasons'!L28</f>
        <v>99.7692307692308</v>
      </c>
      <c r="H7" s="12" t="n">
        <f aca="false">'All Seasons'!M28</f>
        <v>10</v>
      </c>
      <c r="I7" s="12" t="n">
        <f aca="false">'All Seasons'!N28</f>
        <v>8</v>
      </c>
      <c r="J7" s="12" t="str">
        <f aca="false">IF('All Seasons'!O28=1,"YES","-")</f>
        <v>-</v>
      </c>
    </row>
    <row r="8" customFormat="false" ht="15" hidden="false" customHeight="false" outlineLevel="0" collapsed="false">
      <c r="A8" s="12" t="n">
        <f aca="false">'All Seasons'!B29</f>
        <v>4</v>
      </c>
      <c r="B8" s="13" t="str">
        <f aca="false">'All Seasons'!C29</f>
        <v>Big Red Machine</v>
      </c>
      <c r="C8" s="13" t="str">
        <f aca="false">'All Seasons'!D29</f>
        <v>Cory</v>
      </c>
      <c r="D8" s="12" t="str">
        <f aca="false">'All Seasons'!I29</f>
        <v>8-5-0</v>
      </c>
      <c r="E8" s="19" t="n">
        <f aca="false">'All Seasons'!J29</f>
        <v>0.615384615384615</v>
      </c>
      <c r="F8" s="15" t="n">
        <f aca="false">'All Seasons'!K29</f>
        <v>1523</v>
      </c>
      <c r="G8" s="20" t="n">
        <f aca="false">'All Seasons'!L29</f>
        <v>117.153846153846</v>
      </c>
      <c r="H8" s="12" t="n">
        <f aca="false">'All Seasons'!M29</f>
        <v>2</v>
      </c>
      <c r="I8" s="12" t="n">
        <f aca="false">'All Seasons'!N29</f>
        <v>1</v>
      </c>
      <c r="J8" s="12" t="str">
        <f aca="false">IF('All Seasons'!O29=1,"YES","-")</f>
        <v>YES</v>
      </c>
    </row>
    <row r="9" customFormat="false" ht="15" hidden="false" customHeight="false" outlineLevel="0" collapsed="false">
      <c r="A9" s="12" t="n">
        <f aca="false">'All Seasons'!B30</f>
        <v>5</v>
      </c>
      <c r="B9" s="13" t="str">
        <f aca="false">'All Seasons'!C30</f>
        <v>AssKickers</v>
      </c>
      <c r="C9" s="13" t="str">
        <f aca="false">'All Seasons'!D30</f>
        <v>Rob M</v>
      </c>
      <c r="D9" s="12" t="str">
        <f aca="false">'All Seasons'!I30</f>
        <v>7-6-0</v>
      </c>
      <c r="E9" s="19" t="n">
        <f aca="false">'All Seasons'!J30</f>
        <v>0.538461538461538</v>
      </c>
      <c r="F9" s="15" t="n">
        <f aca="false">'All Seasons'!K30</f>
        <v>1298</v>
      </c>
      <c r="G9" s="20" t="n">
        <f aca="false">'All Seasons'!L30</f>
        <v>99.8461538461538</v>
      </c>
      <c r="H9" s="12" t="n">
        <f aca="false">'All Seasons'!M30</f>
        <v>9</v>
      </c>
      <c r="I9" s="12" t="n">
        <f aca="false">'All Seasons'!N30</f>
        <v>10</v>
      </c>
      <c r="J9" s="12" t="str">
        <f aca="false">IF('All Seasons'!O30=1,"YES","-")</f>
        <v>-</v>
      </c>
    </row>
    <row r="10" customFormat="false" ht="15" hidden="false" customHeight="false" outlineLevel="0" collapsed="false">
      <c r="A10" s="12" t="n">
        <f aca="false">'All Seasons'!B31</f>
        <v>6</v>
      </c>
      <c r="B10" s="13" t="str">
        <f aca="false">'All Seasons'!C31</f>
        <v>CreepyAssCrackers</v>
      </c>
      <c r="C10" s="13" t="str">
        <f aca="false">'All Seasons'!D31</f>
        <v>Keith</v>
      </c>
      <c r="D10" s="12" t="str">
        <f aca="false">'All Seasons'!I31</f>
        <v>10-3-0</v>
      </c>
      <c r="E10" s="19" t="n">
        <f aca="false">'All Seasons'!J31</f>
        <v>0.769230769230769</v>
      </c>
      <c r="F10" s="15" t="n">
        <f aca="false">'All Seasons'!K31</f>
        <v>1396</v>
      </c>
      <c r="G10" s="20" t="n">
        <f aca="false">'All Seasons'!L31</f>
        <v>107.384615384615</v>
      </c>
      <c r="H10" s="12" t="n">
        <f aca="false">'All Seasons'!M31</f>
        <v>4</v>
      </c>
      <c r="I10" s="12" t="n">
        <f aca="false">'All Seasons'!N31</f>
        <v>4</v>
      </c>
      <c r="J10" s="12" t="str">
        <f aca="false">IF('All Seasons'!O31=1,"YES","-")</f>
        <v>YES</v>
      </c>
    </row>
    <row r="11" customFormat="false" ht="15" hidden="false" customHeight="false" outlineLevel="0" collapsed="false">
      <c r="A11" s="12" t="n">
        <f aca="false">'All Seasons'!B32</f>
        <v>7</v>
      </c>
      <c r="B11" s="13" t="str">
        <f aca="false">'All Seasons'!C32</f>
        <v>Crackerman</v>
      </c>
      <c r="C11" s="13" t="str">
        <f aca="false">'All Seasons'!D32</f>
        <v>Michael M</v>
      </c>
      <c r="D11" s="12" t="str">
        <f aca="false">'All Seasons'!I32</f>
        <v>4-9-0</v>
      </c>
      <c r="E11" s="19" t="n">
        <f aca="false">'All Seasons'!J32</f>
        <v>0.307692307692308</v>
      </c>
      <c r="F11" s="15" t="n">
        <f aca="false">'All Seasons'!K32</f>
        <v>1208</v>
      </c>
      <c r="G11" s="20" t="n">
        <f aca="false">'All Seasons'!L32</f>
        <v>92.9230769230769</v>
      </c>
      <c r="H11" s="12" t="n">
        <f aca="false">'All Seasons'!M32</f>
        <v>12</v>
      </c>
      <c r="I11" s="12" t="n">
        <f aca="false">'All Seasons'!N32</f>
        <v>11</v>
      </c>
      <c r="J11" s="12" t="str">
        <f aca="false">IF('All Seasons'!O32=1,"YES","-")</f>
        <v>-</v>
      </c>
    </row>
    <row r="12" customFormat="false" ht="15" hidden="false" customHeight="false" outlineLevel="0" collapsed="false">
      <c r="A12" s="12" t="n">
        <f aca="false">'All Seasons'!B33</f>
        <v>8</v>
      </c>
      <c r="B12" s="13" t="str">
        <f aca="false">'All Seasons'!C33</f>
        <v>RedNecks</v>
      </c>
      <c r="C12" s="13" t="str">
        <f aca="false">'All Seasons'!D33</f>
        <v>Jim</v>
      </c>
      <c r="D12" s="12" t="str">
        <f aca="false">'All Seasons'!I33</f>
        <v>4-9-0</v>
      </c>
      <c r="E12" s="19" t="n">
        <f aca="false">'All Seasons'!J33</f>
        <v>0.307692307692308</v>
      </c>
      <c r="F12" s="15" t="n">
        <f aca="false">'All Seasons'!K33</f>
        <v>1351</v>
      </c>
      <c r="G12" s="20" t="n">
        <f aca="false">'All Seasons'!L33</f>
        <v>103.923076923077</v>
      </c>
      <c r="H12" s="12" t="n">
        <f aca="false">'All Seasons'!M33</f>
        <v>5</v>
      </c>
      <c r="I12" s="12" t="n">
        <f aca="false">'All Seasons'!N33</f>
        <v>7</v>
      </c>
      <c r="J12" s="12" t="str">
        <f aca="false">IF('All Seasons'!O33=1,"YES","-")</f>
        <v>-</v>
      </c>
    </row>
    <row r="13" customFormat="false" ht="15" hidden="false" customHeight="false" outlineLevel="0" collapsed="false">
      <c r="A13" s="12" t="n">
        <f aca="false">'All Seasons'!B34</f>
        <v>9</v>
      </c>
      <c r="B13" s="13" t="str">
        <f aca="false">'All Seasons'!C34</f>
        <v>Spike's Chupacabras</v>
      </c>
      <c r="C13" s="13" t="str">
        <f aca="false">'All Seasons'!D34</f>
        <v>Spike</v>
      </c>
      <c r="D13" s="12" t="str">
        <f aca="false">'All Seasons'!I34</f>
        <v>7-6-0</v>
      </c>
      <c r="E13" s="19" t="n">
        <f aca="false">'All Seasons'!J34</f>
        <v>0.538461538461538</v>
      </c>
      <c r="F13" s="15" t="n">
        <f aca="false">'All Seasons'!K34</f>
        <v>1325</v>
      </c>
      <c r="G13" s="20" t="n">
        <f aca="false">'All Seasons'!L34</f>
        <v>101.923076923077</v>
      </c>
      <c r="H13" s="12" t="n">
        <f aca="false">'All Seasons'!M34</f>
        <v>6</v>
      </c>
      <c r="I13" s="12" t="n">
        <f aca="false">'All Seasons'!N34</f>
        <v>6</v>
      </c>
      <c r="J13" s="12" t="str">
        <f aca="false">IF('All Seasons'!O34=1,"YES","-")</f>
        <v>YES</v>
      </c>
    </row>
    <row r="14" customFormat="false" ht="15" hidden="false" customHeight="false" outlineLevel="0" collapsed="false">
      <c r="A14" s="12" t="n">
        <f aca="false">'All Seasons'!B35</f>
        <v>10</v>
      </c>
      <c r="B14" s="13" t="str">
        <f aca="false">'All Seasons'!C35</f>
        <v>RedZone480</v>
      </c>
      <c r="C14" s="13" t="str">
        <f aca="false">'All Seasons'!D35</f>
        <v>Robert</v>
      </c>
      <c r="D14" s="12" t="str">
        <f aca="false">'All Seasons'!I35</f>
        <v>9-4-0</v>
      </c>
      <c r="E14" s="19" t="n">
        <f aca="false">'All Seasons'!J35</f>
        <v>0.692307692307692</v>
      </c>
      <c r="F14" s="15" t="n">
        <f aca="false">'All Seasons'!K35</f>
        <v>1704</v>
      </c>
      <c r="G14" s="20" t="n">
        <f aca="false">'All Seasons'!L35</f>
        <v>131.076923076923</v>
      </c>
      <c r="H14" s="12" t="n">
        <f aca="false">'All Seasons'!M35</f>
        <v>1</v>
      </c>
      <c r="I14" s="12" t="n">
        <f aca="false">'All Seasons'!N35</f>
        <v>3</v>
      </c>
      <c r="J14" s="12" t="str">
        <f aca="false">IF('All Seasons'!O35=1,"YES","-")</f>
        <v>YES</v>
      </c>
    </row>
    <row r="15" customFormat="false" ht="15" hidden="false" customHeight="false" outlineLevel="0" collapsed="false">
      <c r="A15" s="12" t="n">
        <f aca="false">'All Seasons'!B36</f>
        <v>11</v>
      </c>
      <c r="B15" s="13" t="str">
        <f aca="false">'All Seasons'!C36</f>
        <v>Closer</v>
      </c>
      <c r="C15" s="13" t="str">
        <f aca="false">'All Seasons'!D36</f>
        <v>Rick</v>
      </c>
      <c r="D15" s="12" t="str">
        <f aca="false">'All Seasons'!I36</f>
        <v>7-6-0</v>
      </c>
      <c r="E15" s="19" t="n">
        <f aca="false">'All Seasons'!J36</f>
        <v>0.538461538461538</v>
      </c>
      <c r="F15" s="15" t="n">
        <f aca="false">'All Seasons'!K36</f>
        <v>1310</v>
      </c>
      <c r="G15" s="20" t="n">
        <f aca="false">'All Seasons'!L36</f>
        <v>100.769230769231</v>
      </c>
      <c r="H15" s="12" t="n">
        <f aca="false">'All Seasons'!M36</f>
        <v>7</v>
      </c>
      <c r="I15" s="12" t="n">
        <f aca="false">'All Seasons'!N36</f>
        <v>5</v>
      </c>
      <c r="J15" s="12" t="str">
        <f aca="false">IF('All Seasons'!O36=1,"YES","-")</f>
        <v>YES</v>
      </c>
    </row>
    <row r="16" customFormat="false" ht="15" hidden="false" customHeight="false" outlineLevel="0" collapsed="false">
      <c r="A16" s="12" t="n">
        <f aca="false">'All Seasons'!B37</f>
        <v>12</v>
      </c>
      <c r="B16" s="13" t="str">
        <f aca="false">'All Seasons'!C37</f>
        <v>Scott's Scabs</v>
      </c>
      <c r="C16" s="13" t="str">
        <f aca="false">'All Seasons'!D37</f>
        <v>Scott</v>
      </c>
      <c r="D16" s="12" t="str">
        <f aca="false">'All Seasons'!I37</f>
        <v>2-11-0</v>
      </c>
      <c r="E16" s="19" t="n">
        <f aca="false">'All Seasons'!J37</f>
        <v>0.153846153846154</v>
      </c>
      <c r="F16" s="15" t="n">
        <f aca="false">'All Seasons'!K37</f>
        <v>1307</v>
      </c>
      <c r="G16" s="20" t="n">
        <f aca="false">'All Seasons'!L37</f>
        <v>100.538461538462</v>
      </c>
      <c r="H16" s="12" t="n">
        <f aca="false">'All Seasons'!M37</f>
        <v>8</v>
      </c>
      <c r="I16" s="12" t="n">
        <f aca="false">'All Seasons'!N37</f>
        <v>12</v>
      </c>
      <c r="J16" s="12" t="str">
        <f aca="false">IF('All Seasons'!O37=1,"YES","-")</f>
        <v>-</v>
      </c>
    </row>
    <row r="17" customFormat="false" ht="15" hidden="false" customHeight="false" outlineLevel="0" collapsed="false">
      <c r="B17" s="21" t="s">
        <v>116</v>
      </c>
      <c r="E17" s="22" t="n">
        <f aca="false">AVERAGE(E5:E16)</f>
        <v>0.5</v>
      </c>
      <c r="F17" s="23" t="n">
        <f aca="false">SUM(F5:F16)</f>
        <v>16440</v>
      </c>
      <c r="G17" s="24" t="n">
        <f aca="false">AVERAGE(G5:G16)</f>
        <v>105.384615384615</v>
      </c>
    </row>
    <row r="19" customFormat="false" ht="15" hidden="false" customHeight="false" outlineLevel="0" collapsed="false">
      <c r="A19" s="25" t="s">
        <v>117</v>
      </c>
    </row>
    <row r="20" customFormat="false" ht="15" hidden="false" customHeight="false" outlineLevel="0" collapsed="false">
      <c r="A20" s="3" t="s">
        <v>18</v>
      </c>
      <c r="C20" s="26" t="n">
        <f aca="false">CORREL($A$5:$A$16,E5:E16)</f>
        <v>-0.296273342958902</v>
      </c>
    </row>
    <row r="21" customFormat="false" ht="15" hidden="false" customHeight="false" outlineLevel="0" collapsed="false">
      <c r="A21" s="3" t="s">
        <v>22</v>
      </c>
      <c r="C21" s="26" t="n">
        <f aca="false">CORREL($A$5:$A$16,G5:G16)</f>
        <v>0.0905376850023852</v>
      </c>
    </row>
    <row r="22" customFormat="false" ht="15" hidden="false" customHeight="false" outlineLevel="0" collapsed="false">
      <c r="A22" s="3" t="s">
        <v>118</v>
      </c>
      <c r="C22" s="26" t="n">
        <f aca="false">CORREL($A$5:$A$16,H5:H16)</f>
        <v>-0.153846153846154</v>
      </c>
    </row>
    <row r="23" customFormat="false" ht="15" hidden="false" customHeight="false" outlineLevel="0" collapsed="false">
      <c r="A23" s="3" t="s">
        <v>119</v>
      </c>
      <c r="C23" s="26" t="n">
        <f aca="false">CORREL($A$5:$A$16,I5:I16)</f>
        <v>0.167832167832168</v>
      </c>
    </row>
    <row r="24" customFormat="false" ht="15" hidden="false" customHeight="false" outlineLevel="0" collapsed="false">
      <c r="A24" s="2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7" t="s">
        <v>123</v>
      </c>
    </row>
    <row r="2" customFormat="false" ht="15" hidden="false" customHeight="false" outlineLevel="0" collapsed="false">
      <c r="A2" s="18" t="s">
        <v>114</v>
      </c>
    </row>
    <row r="4" customFormat="false" ht="15" hidden="false" customHeight="false" outlineLevel="0" collapsed="false">
      <c r="A4" s="6" t="s">
        <v>16</v>
      </c>
      <c r="B4" s="6" t="s">
        <v>44</v>
      </c>
      <c r="C4" s="6" t="s">
        <v>45</v>
      </c>
      <c r="D4" s="6" t="s">
        <v>50</v>
      </c>
      <c r="E4" s="6" t="s">
        <v>18</v>
      </c>
      <c r="F4" s="6" t="s">
        <v>20</v>
      </c>
      <c r="G4" s="6" t="s">
        <v>22</v>
      </c>
      <c r="H4" s="6" t="s">
        <v>24</v>
      </c>
      <c r="I4" s="6" t="s">
        <v>26</v>
      </c>
      <c r="J4" s="6" t="s">
        <v>115</v>
      </c>
    </row>
    <row r="5" customFormat="false" ht="15" hidden="false" customHeight="false" outlineLevel="0" collapsed="false">
      <c r="A5" s="12" t="n">
        <f aca="false">'All Seasons'!B38</f>
        <v>1</v>
      </c>
      <c r="B5" s="13" t="str">
        <f aca="false">'All Seasons'!C38</f>
        <v>RedZone480</v>
      </c>
      <c r="C5" s="13" t="str">
        <f aca="false">'All Seasons'!D38</f>
        <v>Robert</v>
      </c>
      <c r="D5" s="12" t="str">
        <f aca="false">'All Seasons'!I38</f>
        <v>6-7-0</v>
      </c>
      <c r="E5" s="19" t="n">
        <f aca="false">'All Seasons'!J38</f>
        <v>0.461538461538462</v>
      </c>
      <c r="F5" s="15" t="n">
        <f aca="false">'All Seasons'!K38</f>
        <v>1255</v>
      </c>
      <c r="G5" s="20" t="n">
        <f aca="false">'All Seasons'!L38</f>
        <v>96.5384615384615</v>
      </c>
      <c r="H5" s="12" t="n">
        <f aca="false">'All Seasons'!M38</f>
        <v>9</v>
      </c>
      <c r="I5" s="12" t="n">
        <f aca="false">'All Seasons'!N38</f>
        <v>9</v>
      </c>
      <c r="J5" s="12" t="str">
        <f aca="false">IF('All Seasons'!O38=1,"YES","-")</f>
        <v>-</v>
      </c>
    </row>
    <row r="6" customFormat="false" ht="15" hidden="false" customHeight="false" outlineLevel="0" collapsed="false">
      <c r="A6" s="12" t="n">
        <f aca="false">'All Seasons'!B39</f>
        <v>2</v>
      </c>
      <c r="B6" s="13" t="str">
        <f aca="false">'All Seasons'!C39</f>
        <v>Spike's Chupacabras</v>
      </c>
      <c r="C6" s="13" t="str">
        <f aca="false">'All Seasons'!D39</f>
        <v>Spike</v>
      </c>
      <c r="D6" s="12" t="str">
        <f aca="false">'All Seasons'!I39</f>
        <v>6-7-0</v>
      </c>
      <c r="E6" s="19" t="n">
        <f aca="false">'All Seasons'!J39</f>
        <v>0.461538461538462</v>
      </c>
      <c r="F6" s="15" t="n">
        <f aca="false">'All Seasons'!K39</f>
        <v>1258</v>
      </c>
      <c r="G6" s="20" t="n">
        <f aca="false">'All Seasons'!L39</f>
        <v>96.7692307692308</v>
      </c>
      <c r="H6" s="12" t="n">
        <f aca="false">'All Seasons'!M39</f>
        <v>8</v>
      </c>
      <c r="I6" s="12" t="n">
        <f aca="false">'All Seasons'!N39</f>
        <v>7</v>
      </c>
      <c r="J6" s="12" t="str">
        <f aca="false">IF('All Seasons'!O39=1,"YES","-")</f>
        <v>-</v>
      </c>
    </row>
    <row r="7" customFormat="false" ht="15" hidden="false" customHeight="false" outlineLevel="0" collapsed="false">
      <c r="A7" s="12" t="n">
        <f aca="false">'All Seasons'!B40</f>
        <v>3</v>
      </c>
      <c r="B7" s="13" t="str">
        <f aca="false">'All Seasons'!C40</f>
        <v>Closer</v>
      </c>
      <c r="C7" s="13" t="str">
        <f aca="false">'All Seasons'!D40</f>
        <v>Rick</v>
      </c>
      <c r="D7" s="12" t="str">
        <f aca="false">'All Seasons'!I40</f>
        <v>9-4-0</v>
      </c>
      <c r="E7" s="19" t="n">
        <f aca="false">'All Seasons'!J40</f>
        <v>0.692307692307692</v>
      </c>
      <c r="F7" s="15" t="n">
        <f aca="false">'All Seasons'!K40</f>
        <v>1545</v>
      </c>
      <c r="G7" s="20" t="n">
        <f aca="false">'All Seasons'!L40</f>
        <v>118.846153846154</v>
      </c>
      <c r="H7" s="12" t="n">
        <f aca="false">'All Seasons'!M40</f>
        <v>2</v>
      </c>
      <c r="I7" s="12" t="n">
        <f aca="false">'All Seasons'!N40</f>
        <v>4</v>
      </c>
      <c r="J7" s="12" t="str">
        <f aca="false">IF('All Seasons'!O40=1,"YES","-")</f>
        <v>YES</v>
      </c>
    </row>
    <row r="8" customFormat="false" ht="15" hidden="false" customHeight="false" outlineLevel="0" collapsed="false">
      <c r="A8" s="12" t="n">
        <f aca="false">'All Seasons'!B41</f>
        <v>4</v>
      </c>
      <c r="B8" s="13" t="str">
        <f aca="false">'All Seasons'!C41</f>
        <v>RedNecks</v>
      </c>
      <c r="C8" s="13" t="str">
        <f aca="false">'All Seasons'!D41</f>
        <v>Jim</v>
      </c>
      <c r="D8" s="12" t="str">
        <f aca="false">'All Seasons'!I41</f>
        <v>4-9-0</v>
      </c>
      <c r="E8" s="19" t="n">
        <f aca="false">'All Seasons'!J41</f>
        <v>0.307692307692308</v>
      </c>
      <c r="F8" s="15" t="n">
        <f aca="false">'All Seasons'!K41</f>
        <v>1199</v>
      </c>
      <c r="G8" s="20" t="n">
        <f aca="false">'All Seasons'!L41</f>
        <v>92.2307692307692</v>
      </c>
      <c r="H8" s="12" t="n">
        <f aca="false">'All Seasons'!M41</f>
        <v>11</v>
      </c>
      <c r="I8" s="12" t="n">
        <f aca="false">'All Seasons'!N41</f>
        <v>11</v>
      </c>
      <c r="J8" s="12" t="str">
        <f aca="false">IF('All Seasons'!O41=1,"YES","-")</f>
        <v>-</v>
      </c>
    </row>
    <row r="9" customFormat="false" ht="15" hidden="false" customHeight="false" outlineLevel="0" collapsed="false">
      <c r="A9" s="12" t="n">
        <f aca="false">'All Seasons'!B42</f>
        <v>5</v>
      </c>
      <c r="B9" s="13" t="str">
        <f aca="false">'All Seasons'!C42</f>
        <v>Scott's Scabs</v>
      </c>
      <c r="C9" s="13" t="str">
        <f aca="false">'All Seasons'!D42</f>
        <v>Scott</v>
      </c>
      <c r="D9" s="12" t="str">
        <f aca="false">'All Seasons'!I42</f>
        <v>9-4-0</v>
      </c>
      <c r="E9" s="19" t="n">
        <f aca="false">'All Seasons'!J42</f>
        <v>0.692307692307692</v>
      </c>
      <c r="F9" s="15" t="n">
        <f aca="false">'All Seasons'!K42</f>
        <v>1372</v>
      </c>
      <c r="G9" s="20" t="n">
        <f aca="false">'All Seasons'!L42</f>
        <v>105.538461538462</v>
      </c>
      <c r="H9" s="12" t="n">
        <f aca="false">'All Seasons'!M42</f>
        <v>5</v>
      </c>
      <c r="I9" s="12" t="n">
        <f aca="false">'All Seasons'!N42</f>
        <v>6</v>
      </c>
      <c r="J9" s="12" t="str">
        <f aca="false">IF('All Seasons'!O42=1,"YES","-")</f>
        <v>YES</v>
      </c>
    </row>
    <row r="10" customFormat="false" ht="15" hidden="false" customHeight="false" outlineLevel="0" collapsed="false">
      <c r="A10" s="12" t="n">
        <f aca="false">'All Seasons'!B43</f>
        <v>6</v>
      </c>
      <c r="B10" s="13" t="str">
        <f aca="false">'All Seasons'!C43</f>
        <v>Crackerman</v>
      </c>
      <c r="C10" s="13" t="str">
        <f aca="false">'All Seasons'!D43</f>
        <v>Michael M</v>
      </c>
      <c r="D10" s="12" t="str">
        <f aca="false">'All Seasons'!I43</f>
        <v>4-9-0</v>
      </c>
      <c r="E10" s="19" t="n">
        <f aca="false">'All Seasons'!J43</f>
        <v>0.307692307692308</v>
      </c>
      <c r="F10" s="15" t="n">
        <f aca="false">'All Seasons'!K43</f>
        <v>1253</v>
      </c>
      <c r="G10" s="20" t="n">
        <f aca="false">'All Seasons'!L43</f>
        <v>96.3846153846154</v>
      </c>
      <c r="H10" s="12" t="n">
        <f aca="false">'All Seasons'!M43</f>
        <v>10</v>
      </c>
      <c r="I10" s="12" t="n">
        <f aca="false">'All Seasons'!N43</f>
        <v>12</v>
      </c>
      <c r="J10" s="12" t="str">
        <f aca="false">IF('All Seasons'!O43=1,"YES","-")</f>
        <v>-</v>
      </c>
    </row>
    <row r="11" customFormat="false" ht="15" hidden="false" customHeight="false" outlineLevel="0" collapsed="false">
      <c r="A11" s="12" t="n">
        <f aca="false">'All Seasons'!B44</f>
        <v>7</v>
      </c>
      <c r="B11" s="13" t="str">
        <f aca="false">'All Seasons'!C44</f>
        <v>Donkey Punchers</v>
      </c>
      <c r="C11" s="13" t="str">
        <f aca="false">'All Seasons'!D44</f>
        <v>Barrett</v>
      </c>
      <c r="D11" s="12" t="str">
        <f aca="false">'All Seasons'!I44</f>
        <v>3-10-0</v>
      </c>
      <c r="E11" s="19" t="n">
        <f aca="false">'All Seasons'!J44</f>
        <v>0.230769230769231</v>
      </c>
      <c r="F11" s="15" t="n">
        <f aca="false">'All Seasons'!K44</f>
        <v>1326</v>
      </c>
      <c r="G11" s="20" t="n">
        <f aca="false">'All Seasons'!L44</f>
        <v>102</v>
      </c>
      <c r="H11" s="12" t="n">
        <f aca="false">'All Seasons'!M44</f>
        <v>7</v>
      </c>
      <c r="I11" s="12" t="n">
        <f aca="false">'All Seasons'!N44</f>
        <v>8</v>
      </c>
      <c r="J11" s="12" t="str">
        <f aca="false">IF('All Seasons'!O44=1,"YES","-")</f>
        <v>-</v>
      </c>
    </row>
    <row r="12" customFormat="false" ht="15" hidden="false" customHeight="false" outlineLevel="0" collapsed="false">
      <c r="A12" s="12" t="n">
        <f aca="false">'All Seasons'!B45</f>
        <v>8</v>
      </c>
      <c r="B12" s="13" t="str">
        <f aca="false">'All Seasons'!C45</f>
        <v>Big Red Machine</v>
      </c>
      <c r="C12" s="13" t="str">
        <f aca="false">'All Seasons'!D45</f>
        <v>Cory</v>
      </c>
      <c r="D12" s="12" t="str">
        <f aca="false">'All Seasons'!I45</f>
        <v>10-3-0</v>
      </c>
      <c r="E12" s="19" t="n">
        <f aca="false">'All Seasons'!J45</f>
        <v>0.769230769230769</v>
      </c>
      <c r="F12" s="15" t="n">
        <f aca="false">'All Seasons'!K45</f>
        <v>1620</v>
      </c>
      <c r="G12" s="20" t="n">
        <f aca="false">'All Seasons'!L45</f>
        <v>124.615384615385</v>
      </c>
      <c r="H12" s="12" t="n">
        <f aca="false">'All Seasons'!M45</f>
        <v>1</v>
      </c>
      <c r="I12" s="12" t="n">
        <f aca="false">'All Seasons'!N45</f>
        <v>1</v>
      </c>
      <c r="J12" s="12" t="str">
        <f aca="false">IF('All Seasons'!O45=1,"YES","-")</f>
        <v>YES</v>
      </c>
    </row>
    <row r="13" customFormat="false" ht="15" hidden="false" customHeight="false" outlineLevel="0" collapsed="false">
      <c r="A13" s="12" t="n">
        <f aca="false">'All Seasons'!B46</f>
        <v>9</v>
      </c>
      <c r="B13" s="13" t="str">
        <f aca="false">'All Seasons'!C46</f>
        <v>Going Postal</v>
      </c>
      <c r="C13" s="13" t="str">
        <f aca="false">'All Seasons'!D46</f>
        <v>Steve</v>
      </c>
      <c r="D13" s="12" t="str">
        <f aca="false">'All Seasons'!I46</f>
        <v>7-6-0</v>
      </c>
      <c r="E13" s="19" t="n">
        <f aca="false">'All Seasons'!J46</f>
        <v>0.538461538461538</v>
      </c>
      <c r="F13" s="15" t="n">
        <f aca="false">'All Seasons'!K46</f>
        <v>1351</v>
      </c>
      <c r="G13" s="20" t="n">
        <f aca="false">'All Seasons'!L46</f>
        <v>103.923076923077</v>
      </c>
      <c r="H13" s="12" t="n">
        <f aca="false">'All Seasons'!M46</f>
        <v>6</v>
      </c>
      <c r="I13" s="12" t="n">
        <f aca="false">'All Seasons'!N46</f>
        <v>5</v>
      </c>
      <c r="J13" s="12" t="str">
        <f aca="false">IF('All Seasons'!O46=1,"YES","-")</f>
        <v>YES</v>
      </c>
    </row>
    <row r="14" customFormat="false" ht="15" hidden="false" customHeight="false" outlineLevel="0" collapsed="false">
      <c r="A14" s="12" t="n">
        <f aca="false">'All Seasons'!B47</f>
        <v>10</v>
      </c>
      <c r="B14" s="13" t="str">
        <f aca="false">'All Seasons'!C47</f>
        <v>Golden Taint</v>
      </c>
      <c r="C14" s="13" t="str">
        <f aca="false">'All Seasons'!D47</f>
        <v>Keith</v>
      </c>
      <c r="D14" s="12" t="str">
        <f aca="false">'All Seasons'!I47</f>
        <v>10-3-0</v>
      </c>
      <c r="E14" s="19" t="n">
        <f aca="false">'All Seasons'!J47</f>
        <v>0.769230769230769</v>
      </c>
      <c r="F14" s="15" t="n">
        <f aca="false">'All Seasons'!K47</f>
        <v>1530</v>
      </c>
      <c r="G14" s="20" t="n">
        <f aca="false">'All Seasons'!L47</f>
        <v>117.692307692308</v>
      </c>
      <c r="H14" s="12" t="n">
        <f aca="false">'All Seasons'!M47</f>
        <v>3</v>
      </c>
      <c r="I14" s="12" t="n">
        <f aca="false">'All Seasons'!N47</f>
        <v>2</v>
      </c>
      <c r="J14" s="12" t="str">
        <f aca="false">IF('All Seasons'!O47=1,"YES","-")</f>
        <v>YES</v>
      </c>
    </row>
    <row r="15" customFormat="false" ht="15" hidden="false" customHeight="false" outlineLevel="0" collapsed="false">
      <c r="A15" s="12" t="n">
        <f aca="false">'All Seasons'!B48</f>
        <v>11</v>
      </c>
      <c r="B15" s="13" t="str">
        <f aca="false">'All Seasons'!C48</f>
        <v>AssKickers</v>
      </c>
      <c r="C15" s="13" t="str">
        <f aca="false">'All Seasons'!D48</f>
        <v>Rob M</v>
      </c>
      <c r="D15" s="12" t="str">
        <f aca="false">'All Seasons'!I48</f>
        <v>7-6-0</v>
      </c>
      <c r="E15" s="19" t="n">
        <f aca="false">'All Seasons'!J48</f>
        <v>0.538461538461538</v>
      </c>
      <c r="F15" s="15" t="n">
        <f aca="false">'All Seasons'!K48</f>
        <v>1384</v>
      </c>
      <c r="G15" s="20" t="n">
        <f aca="false">'All Seasons'!L48</f>
        <v>106.461538461538</v>
      </c>
      <c r="H15" s="12" t="n">
        <f aca="false">'All Seasons'!M48</f>
        <v>4</v>
      </c>
      <c r="I15" s="12" t="n">
        <f aca="false">'All Seasons'!N48</f>
        <v>3</v>
      </c>
      <c r="J15" s="12" t="str">
        <f aca="false">IF('All Seasons'!O48=1,"YES","-")</f>
        <v>YES</v>
      </c>
    </row>
    <row r="16" customFormat="false" ht="15" hidden="false" customHeight="false" outlineLevel="0" collapsed="false">
      <c r="A16" s="12" t="n">
        <f aca="false">'All Seasons'!B49</f>
        <v>12</v>
      </c>
      <c r="B16" s="13" t="str">
        <f aca="false">'All Seasons'!C49</f>
        <v>Vandalay Industries</v>
      </c>
      <c r="C16" s="13" t="str">
        <f aca="false">'All Seasons'!D49</f>
        <v>John</v>
      </c>
      <c r="D16" s="12" t="str">
        <f aca="false">'All Seasons'!I49</f>
        <v>3-10-0</v>
      </c>
      <c r="E16" s="19" t="n">
        <f aca="false">'All Seasons'!J49</f>
        <v>0.230769230769231</v>
      </c>
      <c r="F16" s="15" t="n">
        <f aca="false">'All Seasons'!K49</f>
        <v>1120</v>
      </c>
      <c r="G16" s="20" t="n">
        <f aca="false">'All Seasons'!L49</f>
        <v>86.1538461538462</v>
      </c>
      <c r="H16" s="12" t="n">
        <f aca="false">'All Seasons'!M49</f>
        <v>12</v>
      </c>
      <c r="I16" s="12" t="n">
        <f aca="false">'All Seasons'!N49</f>
        <v>10</v>
      </c>
      <c r="J16" s="12" t="str">
        <f aca="false">IF('All Seasons'!O49=1,"YES","-")</f>
        <v>-</v>
      </c>
    </row>
    <row r="17" customFormat="false" ht="15" hidden="false" customHeight="false" outlineLevel="0" collapsed="false">
      <c r="B17" s="21" t="s">
        <v>116</v>
      </c>
      <c r="E17" s="22" t="n">
        <f aca="false">AVERAGE(E5:E16)</f>
        <v>0.5</v>
      </c>
      <c r="F17" s="23" t="n">
        <f aca="false">SUM(F5:F16)</f>
        <v>16213</v>
      </c>
      <c r="G17" s="24" t="n">
        <f aca="false">AVERAGE(G5:G16)</f>
        <v>103.929487179487</v>
      </c>
    </row>
    <row r="19" customFormat="false" ht="15" hidden="false" customHeight="false" outlineLevel="0" collapsed="false">
      <c r="A19" s="25" t="s">
        <v>117</v>
      </c>
    </row>
    <row r="20" customFormat="false" ht="15" hidden="false" customHeight="false" outlineLevel="0" collapsed="false">
      <c r="A20" s="3" t="s">
        <v>18</v>
      </c>
      <c r="C20" s="26" t="n">
        <f aca="false">CORREL($A$5:$A$16,E5:E16)</f>
        <v>0</v>
      </c>
    </row>
    <row r="21" customFormat="false" ht="15" hidden="false" customHeight="false" outlineLevel="0" collapsed="false">
      <c r="A21" s="3" t="s">
        <v>22</v>
      </c>
      <c r="C21" s="26" t="n">
        <f aca="false">CORREL($A$5:$A$16,G5:G16)</f>
        <v>0.0940958909568509</v>
      </c>
    </row>
    <row r="22" customFormat="false" ht="15" hidden="false" customHeight="false" outlineLevel="0" collapsed="false">
      <c r="A22" s="3" t="s">
        <v>118</v>
      </c>
      <c r="C22" s="26" t="n">
        <f aca="false">CORREL($A$5:$A$16,H5:H16)</f>
        <v>-0.125874125874126</v>
      </c>
    </row>
    <row r="23" customFormat="false" ht="15" hidden="false" customHeight="false" outlineLevel="0" collapsed="false">
      <c r="A23" s="3" t="s">
        <v>119</v>
      </c>
      <c r="C23" s="26" t="n">
        <f aca="false">CORREL($A$5:$A$16,I5:I16)</f>
        <v>-0.307692307692308</v>
      </c>
    </row>
    <row r="24" customFormat="false" ht="15" hidden="false" customHeight="false" outlineLevel="0" collapsed="false">
      <c r="A24" s="2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7" t="s">
        <v>124</v>
      </c>
    </row>
    <row r="2" customFormat="false" ht="15" hidden="false" customHeight="false" outlineLevel="0" collapsed="false">
      <c r="A2" s="18" t="s">
        <v>114</v>
      </c>
    </row>
    <row r="4" customFormat="false" ht="15" hidden="false" customHeight="false" outlineLevel="0" collapsed="false">
      <c r="A4" s="6" t="s">
        <v>16</v>
      </c>
      <c r="B4" s="6" t="s">
        <v>44</v>
      </c>
      <c r="C4" s="6" t="s">
        <v>45</v>
      </c>
      <c r="D4" s="6" t="s">
        <v>50</v>
      </c>
      <c r="E4" s="6" t="s">
        <v>18</v>
      </c>
      <c r="F4" s="6" t="s">
        <v>20</v>
      </c>
      <c r="G4" s="6" t="s">
        <v>22</v>
      </c>
      <c r="H4" s="6" t="s">
        <v>24</v>
      </c>
      <c r="I4" s="6" t="s">
        <v>26</v>
      </c>
      <c r="J4" s="6" t="s">
        <v>115</v>
      </c>
    </row>
    <row r="5" customFormat="false" ht="15" hidden="false" customHeight="false" outlineLevel="0" collapsed="false">
      <c r="A5" s="12" t="n">
        <f aca="false">'All Seasons'!B50</f>
        <v>1</v>
      </c>
      <c r="B5" s="13" t="str">
        <f aca="false">'All Seasons'!C50</f>
        <v>Vandalay Industries</v>
      </c>
      <c r="C5" s="13" t="str">
        <f aca="false">'All Seasons'!D50</f>
        <v>John</v>
      </c>
      <c r="D5" s="12" t="str">
        <f aca="false">'All Seasons'!I50</f>
        <v>10-3-0</v>
      </c>
      <c r="E5" s="19" t="n">
        <f aca="false">'All Seasons'!J50</f>
        <v>0.769230769230769</v>
      </c>
      <c r="F5" s="15" t="n">
        <f aca="false">'All Seasons'!K50</f>
        <v>1472</v>
      </c>
      <c r="G5" s="20" t="n">
        <f aca="false">'All Seasons'!L50</f>
        <v>113.230769230769</v>
      </c>
      <c r="H5" s="12" t="n">
        <f aca="false">'All Seasons'!M50</f>
        <v>2</v>
      </c>
      <c r="I5" s="12" t="n">
        <f aca="false">'All Seasons'!N50</f>
        <v>2</v>
      </c>
      <c r="J5" s="12" t="str">
        <f aca="false">IF('All Seasons'!O50=1,"YES","-")</f>
        <v>YES</v>
      </c>
    </row>
    <row r="6" customFormat="false" ht="15" hidden="false" customHeight="false" outlineLevel="0" collapsed="false">
      <c r="A6" s="12" t="n">
        <f aca="false">'All Seasons'!B51</f>
        <v>2</v>
      </c>
      <c r="B6" s="13" t="str">
        <f aca="false">'All Seasons'!C51</f>
        <v>Golden Taint</v>
      </c>
      <c r="C6" s="13" t="str">
        <f aca="false">'All Seasons'!D51</f>
        <v>Keith</v>
      </c>
      <c r="D6" s="12" t="str">
        <f aca="false">'All Seasons'!I51</f>
        <v>8-5-0</v>
      </c>
      <c r="E6" s="19" t="n">
        <f aca="false">'All Seasons'!J51</f>
        <v>0.615384615384615</v>
      </c>
      <c r="F6" s="15" t="n">
        <f aca="false">'All Seasons'!K51</f>
        <v>1587</v>
      </c>
      <c r="G6" s="20" t="n">
        <f aca="false">'All Seasons'!L51</f>
        <v>122.076923076923</v>
      </c>
      <c r="H6" s="12" t="n">
        <f aca="false">'All Seasons'!M51</f>
        <v>1</v>
      </c>
      <c r="I6" s="12" t="n">
        <f aca="false">'All Seasons'!N51</f>
        <v>5</v>
      </c>
      <c r="J6" s="12" t="str">
        <f aca="false">IF('All Seasons'!O51=1,"YES","-")</f>
        <v>YES</v>
      </c>
    </row>
    <row r="7" customFormat="false" ht="15" hidden="false" customHeight="false" outlineLevel="0" collapsed="false">
      <c r="A7" s="12" t="n">
        <f aca="false">'All Seasons'!B52</f>
        <v>3</v>
      </c>
      <c r="B7" s="13" t="str">
        <f aca="false">'All Seasons'!C52</f>
        <v>RedNecks</v>
      </c>
      <c r="C7" s="13" t="str">
        <f aca="false">'All Seasons'!D52</f>
        <v>Jim</v>
      </c>
      <c r="D7" s="12" t="str">
        <f aca="false">'All Seasons'!I52</f>
        <v>5-8-0</v>
      </c>
      <c r="E7" s="19" t="n">
        <f aca="false">'All Seasons'!J52</f>
        <v>0.384615384615385</v>
      </c>
      <c r="F7" s="15" t="n">
        <f aca="false">'All Seasons'!K52</f>
        <v>1325</v>
      </c>
      <c r="G7" s="20" t="n">
        <f aca="false">'All Seasons'!L52</f>
        <v>101.923076923077</v>
      </c>
      <c r="H7" s="12" t="n">
        <f aca="false">'All Seasons'!M52</f>
        <v>7</v>
      </c>
      <c r="I7" s="12" t="n">
        <f aca="false">'All Seasons'!N52</f>
        <v>11</v>
      </c>
      <c r="J7" s="12" t="str">
        <f aca="false">IF('All Seasons'!O52=1,"YES","-")</f>
        <v>-</v>
      </c>
    </row>
    <row r="8" customFormat="false" ht="15" hidden="false" customHeight="false" outlineLevel="0" collapsed="false">
      <c r="A8" s="12" t="n">
        <f aca="false">'All Seasons'!B53</f>
        <v>4</v>
      </c>
      <c r="B8" s="13" t="str">
        <f aca="false">'All Seasons'!C53</f>
        <v>RedZone480</v>
      </c>
      <c r="C8" s="13" t="str">
        <f aca="false">'All Seasons'!D53</f>
        <v>Robert</v>
      </c>
      <c r="D8" s="12" t="str">
        <f aca="false">'All Seasons'!I53</f>
        <v>5-8-0</v>
      </c>
      <c r="E8" s="19" t="n">
        <f aca="false">'All Seasons'!J53</f>
        <v>0.384615384615385</v>
      </c>
      <c r="F8" s="15" t="n">
        <f aca="false">'All Seasons'!K53</f>
        <v>1271</v>
      </c>
      <c r="G8" s="20" t="n">
        <f aca="false">'All Seasons'!L53</f>
        <v>97.7692307692308</v>
      </c>
      <c r="H8" s="12" t="n">
        <f aca="false">'All Seasons'!M53</f>
        <v>9</v>
      </c>
      <c r="I8" s="12" t="n">
        <f aca="false">'All Seasons'!N53</f>
        <v>4</v>
      </c>
      <c r="J8" s="12" t="str">
        <f aca="false">IF('All Seasons'!O53=1,"YES","-")</f>
        <v>YES</v>
      </c>
    </row>
    <row r="9" customFormat="false" ht="15" hidden="false" customHeight="false" outlineLevel="0" collapsed="false">
      <c r="A9" s="12" t="n">
        <f aca="false">'All Seasons'!B54</f>
        <v>5</v>
      </c>
      <c r="B9" s="13" t="str">
        <f aca="false">'All Seasons'!C54</f>
        <v>AssKickers</v>
      </c>
      <c r="C9" s="13" t="str">
        <f aca="false">'All Seasons'!D54</f>
        <v>Rob M</v>
      </c>
      <c r="D9" s="12" t="str">
        <f aca="false">'All Seasons'!I54</f>
        <v>5-8-0</v>
      </c>
      <c r="E9" s="19" t="n">
        <f aca="false">'All Seasons'!J54</f>
        <v>0.384615384615385</v>
      </c>
      <c r="F9" s="15" t="n">
        <f aca="false">'All Seasons'!K54</f>
        <v>1192</v>
      </c>
      <c r="G9" s="20" t="n">
        <f aca="false">'All Seasons'!L54</f>
        <v>91.6923076923077</v>
      </c>
      <c r="H9" s="12" t="n">
        <f aca="false">'All Seasons'!M54</f>
        <v>11</v>
      </c>
      <c r="I9" s="12" t="n">
        <f aca="false">'All Seasons'!N54</f>
        <v>12</v>
      </c>
      <c r="J9" s="12" t="str">
        <f aca="false">IF('All Seasons'!O54=1,"YES","-")</f>
        <v>-</v>
      </c>
    </row>
    <row r="10" customFormat="false" ht="15" hidden="false" customHeight="false" outlineLevel="0" collapsed="false">
      <c r="A10" s="12" t="n">
        <f aca="false">'All Seasons'!B55</f>
        <v>6</v>
      </c>
      <c r="B10" s="13" t="str">
        <f aca="false">'All Seasons'!C55</f>
        <v>Scott's Scabs</v>
      </c>
      <c r="C10" s="13" t="str">
        <f aca="false">'All Seasons'!D55</f>
        <v>Scott</v>
      </c>
      <c r="D10" s="12" t="str">
        <f aca="false">'All Seasons'!I55</f>
        <v>5-8-0</v>
      </c>
      <c r="E10" s="19" t="n">
        <f aca="false">'All Seasons'!J55</f>
        <v>0.384615384615385</v>
      </c>
      <c r="F10" s="15" t="n">
        <f aca="false">'All Seasons'!K55</f>
        <v>1391</v>
      </c>
      <c r="G10" s="20" t="n">
        <f aca="false">'All Seasons'!L55</f>
        <v>107</v>
      </c>
      <c r="H10" s="12" t="n">
        <f aca="false">'All Seasons'!M55</f>
        <v>3</v>
      </c>
      <c r="I10" s="12" t="n">
        <f aca="false">'All Seasons'!N55</f>
        <v>10</v>
      </c>
      <c r="J10" s="12" t="str">
        <f aca="false">IF('All Seasons'!O55=1,"YES","-")</f>
        <v>-</v>
      </c>
    </row>
    <row r="11" customFormat="false" ht="15" hidden="false" customHeight="false" outlineLevel="0" collapsed="false">
      <c r="A11" s="12" t="n">
        <f aca="false">'All Seasons'!B56</f>
        <v>7</v>
      </c>
      <c r="B11" s="13" t="str">
        <f aca="false">'All Seasons'!C56</f>
        <v>Big Red Machine</v>
      </c>
      <c r="C11" s="13" t="str">
        <f aca="false">'All Seasons'!D56</f>
        <v>Cory</v>
      </c>
      <c r="D11" s="12" t="str">
        <f aca="false">'All Seasons'!I56</f>
        <v>8-5-0</v>
      </c>
      <c r="E11" s="19" t="n">
        <f aca="false">'All Seasons'!J56</f>
        <v>0.615384615384615</v>
      </c>
      <c r="F11" s="15" t="n">
        <f aca="false">'All Seasons'!K56</f>
        <v>1345</v>
      </c>
      <c r="G11" s="20" t="n">
        <f aca="false">'All Seasons'!L56</f>
        <v>103.461538461538</v>
      </c>
      <c r="H11" s="12" t="n">
        <f aca="false">'All Seasons'!M56</f>
        <v>6</v>
      </c>
      <c r="I11" s="12" t="n">
        <f aca="false">'All Seasons'!N56</f>
        <v>6</v>
      </c>
      <c r="J11" s="12" t="str">
        <f aca="false">IF('All Seasons'!O56=1,"YES","-")</f>
        <v>YES</v>
      </c>
    </row>
    <row r="12" customFormat="false" ht="15" hidden="false" customHeight="false" outlineLevel="0" collapsed="false">
      <c r="A12" s="12" t="n">
        <f aca="false">'All Seasons'!B57</f>
        <v>8</v>
      </c>
      <c r="B12" s="13" t="str">
        <f aca="false">'All Seasons'!C57</f>
        <v>Closer</v>
      </c>
      <c r="C12" s="13" t="str">
        <f aca="false">'All Seasons'!D57</f>
        <v>Rick</v>
      </c>
      <c r="D12" s="12" t="str">
        <f aca="false">'All Seasons'!I57</f>
        <v>6-7-0</v>
      </c>
      <c r="E12" s="19" t="n">
        <f aca="false">'All Seasons'!J57</f>
        <v>0.461538461538462</v>
      </c>
      <c r="F12" s="15" t="n">
        <f aca="false">'All Seasons'!K57</f>
        <v>1271</v>
      </c>
      <c r="G12" s="20" t="n">
        <f aca="false">'All Seasons'!L57</f>
        <v>97.7692307692308</v>
      </c>
      <c r="H12" s="12" t="n">
        <f aca="false">'All Seasons'!M57</f>
        <v>9</v>
      </c>
      <c r="I12" s="12" t="n">
        <f aca="false">'All Seasons'!N57</f>
        <v>8</v>
      </c>
      <c r="J12" s="12" t="str">
        <f aca="false">IF('All Seasons'!O57=1,"YES","-")</f>
        <v>-</v>
      </c>
    </row>
    <row r="13" customFormat="false" ht="15" hidden="false" customHeight="false" outlineLevel="0" collapsed="false">
      <c r="A13" s="12" t="n">
        <f aca="false">'All Seasons'!B58</f>
        <v>9</v>
      </c>
      <c r="B13" s="13" t="str">
        <f aca="false">'All Seasons'!C58</f>
        <v>Going Postal</v>
      </c>
      <c r="C13" s="13" t="str">
        <f aca="false">'All Seasons'!D58</f>
        <v>Steve</v>
      </c>
      <c r="D13" s="12" t="str">
        <f aca="false">'All Seasons'!I58</f>
        <v>7-6-0</v>
      </c>
      <c r="E13" s="19" t="n">
        <f aca="false">'All Seasons'!J58</f>
        <v>0.538461538461538</v>
      </c>
      <c r="F13" s="15" t="n">
        <f aca="false">'All Seasons'!K58</f>
        <v>1382</v>
      </c>
      <c r="G13" s="20" t="n">
        <f aca="false">'All Seasons'!L58</f>
        <v>106.307692307692</v>
      </c>
      <c r="H13" s="12" t="n">
        <f aca="false">'All Seasons'!M58</f>
        <v>4</v>
      </c>
      <c r="I13" s="12" t="n">
        <f aca="false">'All Seasons'!N58</f>
        <v>3</v>
      </c>
      <c r="J13" s="12" t="str">
        <f aca="false">IF('All Seasons'!O58=1,"YES","-")</f>
        <v>YES</v>
      </c>
    </row>
    <row r="14" customFormat="false" ht="15" hidden="false" customHeight="false" outlineLevel="0" collapsed="false">
      <c r="A14" s="12" t="n">
        <f aca="false">'All Seasons'!B59</f>
        <v>10</v>
      </c>
      <c r="B14" s="13" t="str">
        <f aca="false">'All Seasons'!C59</f>
        <v>Crackerman</v>
      </c>
      <c r="C14" s="13" t="str">
        <f aca="false">'All Seasons'!D59</f>
        <v>Michael M</v>
      </c>
      <c r="D14" s="12" t="str">
        <f aca="false">'All Seasons'!I59</f>
        <v>8-5-0</v>
      </c>
      <c r="E14" s="19" t="n">
        <f aca="false">'All Seasons'!J59</f>
        <v>0.615384615384615</v>
      </c>
      <c r="F14" s="15" t="n">
        <f aca="false">'All Seasons'!K59</f>
        <v>1378</v>
      </c>
      <c r="G14" s="20" t="n">
        <f aca="false">'All Seasons'!L59</f>
        <v>106</v>
      </c>
      <c r="H14" s="12" t="n">
        <f aca="false">'All Seasons'!M59</f>
        <v>5</v>
      </c>
      <c r="I14" s="12" t="n">
        <f aca="false">'All Seasons'!N59</f>
        <v>1</v>
      </c>
      <c r="J14" s="12" t="str">
        <f aca="false">IF('All Seasons'!O59=1,"YES","-")</f>
        <v>YES</v>
      </c>
    </row>
    <row r="15" customFormat="false" ht="15" hidden="false" customHeight="false" outlineLevel="0" collapsed="false">
      <c r="A15" s="12" t="n">
        <f aca="false">'All Seasons'!B60</f>
        <v>11</v>
      </c>
      <c r="B15" s="13" t="str">
        <f aca="false">'All Seasons'!C60</f>
        <v>Donkey Punchers</v>
      </c>
      <c r="C15" s="13" t="str">
        <f aca="false">'All Seasons'!D60</f>
        <v>Barrett</v>
      </c>
      <c r="D15" s="12" t="str">
        <f aca="false">'All Seasons'!I60</f>
        <v>5-8-0</v>
      </c>
      <c r="E15" s="19" t="n">
        <f aca="false">'All Seasons'!J60</f>
        <v>0.384615384615385</v>
      </c>
      <c r="F15" s="15" t="n">
        <f aca="false">'All Seasons'!K60</f>
        <v>1294</v>
      </c>
      <c r="G15" s="20" t="n">
        <f aca="false">'All Seasons'!L60</f>
        <v>99.5384615384615</v>
      </c>
      <c r="H15" s="12" t="n">
        <f aca="false">'All Seasons'!M60</f>
        <v>8</v>
      </c>
      <c r="I15" s="12" t="n">
        <f aca="false">'All Seasons'!N60</f>
        <v>9</v>
      </c>
      <c r="J15" s="12" t="str">
        <f aca="false">IF('All Seasons'!O60=1,"YES","-")</f>
        <v>-</v>
      </c>
    </row>
    <row r="16" customFormat="false" ht="15" hidden="false" customHeight="false" outlineLevel="0" collapsed="false">
      <c r="A16" s="12" t="n">
        <f aca="false">'All Seasons'!B61</f>
        <v>12</v>
      </c>
      <c r="B16" s="13" t="str">
        <f aca="false">'All Seasons'!C61</f>
        <v>Spike's Chupacabras</v>
      </c>
      <c r="C16" s="13" t="str">
        <f aca="false">'All Seasons'!D61</f>
        <v>Spike</v>
      </c>
      <c r="D16" s="12" t="str">
        <f aca="false">'All Seasons'!I61</f>
        <v>6-7-0</v>
      </c>
      <c r="E16" s="19" t="n">
        <f aca="false">'All Seasons'!J61</f>
        <v>0.461538461538462</v>
      </c>
      <c r="F16" s="15" t="n">
        <f aca="false">'All Seasons'!K61</f>
        <v>1185</v>
      </c>
      <c r="G16" s="20" t="n">
        <f aca="false">'All Seasons'!L61</f>
        <v>91.1538461538462</v>
      </c>
      <c r="H16" s="12" t="n">
        <f aca="false">'All Seasons'!M61</f>
        <v>12</v>
      </c>
      <c r="I16" s="12" t="n">
        <f aca="false">'All Seasons'!N61</f>
        <v>7</v>
      </c>
      <c r="J16" s="12" t="str">
        <f aca="false">IF('All Seasons'!O61=1,"YES","-")</f>
        <v>-</v>
      </c>
    </row>
    <row r="17" customFormat="false" ht="15" hidden="false" customHeight="false" outlineLevel="0" collapsed="false">
      <c r="B17" s="21" t="s">
        <v>116</v>
      </c>
      <c r="E17" s="22" t="n">
        <f aca="false">AVERAGE(E5:E16)</f>
        <v>0.5</v>
      </c>
      <c r="F17" s="23" t="n">
        <f aca="false">SUM(F5:F16)</f>
        <v>16093</v>
      </c>
      <c r="G17" s="24" t="n">
        <f aca="false">AVERAGE(G5:G16)</f>
        <v>103.160256410256</v>
      </c>
    </row>
    <row r="19" customFormat="false" ht="15" hidden="false" customHeight="false" outlineLevel="0" collapsed="false">
      <c r="A19" s="25" t="s">
        <v>117</v>
      </c>
    </row>
    <row r="20" customFormat="false" ht="15" hidden="false" customHeight="false" outlineLevel="0" collapsed="false">
      <c r="A20" s="3" t="s">
        <v>18</v>
      </c>
      <c r="C20" s="26" t="n">
        <f aca="false">CORREL($A$5:$A$16,E5:E16)</f>
        <v>-0.255328947917162</v>
      </c>
    </row>
    <row r="21" customFormat="false" ht="15" hidden="false" customHeight="false" outlineLevel="0" collapsed="false">
      <c r="A21" s="3" t="s">
        <v>22</v>
      </c>
      <c r="C21" s="26" t="n">
        <f aca="false">CORREL($A$5:$A$16,G5:G16)</f>
        <v>-0.51886754593923</v>
      </c>
    </row>
    <row r="22" customFormat="false" ht="15" hidden="false" customHeight="false" outlineLevel="0" collapsed="false">
      <c r="A22" s="3" t="s">
        <v>118</v>
      </c>
      <c r="C22" s="26" t="n">
        <f aca="false">CORREL($A$5:$A$16,H5:H16)</f>
        <v>0.468106986005894</v>
      </c>
    </row>
    <row r="23" customFormat="false" ht="15" hidden="false" customHeight="false" outlineLevel="0" collapsed="false">
      <c r="A23" s="3" t="s">
        <v>119</v>
      </c>
      <c r="C23" s="26" t="n">
        <f aca="false">CORREL($A$5:$A$16,I5:I16)</f>
        <v>0</v>
      </c>
    </row>
    <row r="24" customFormat="false" ht="15" hidden="false" customHeight="false" outlineLevel="0" collapsed="false">
      <c r="A24" s="2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7" t="s">
        <v>125</v>
      </c>
    </row>
    <row r="2" customFormat="false" ht="15" hidden="false" customHeight="false" outlineLevel="0" collapsed="false">
      <c r="A2" s="18" t="s">
        <v>114</v>
      </c>
    </row>
    <row r="4" customFormat="false" ht="15" hidden="false" customHeight="false" outlineLevel="0" collapsed="false">
      <c r="A4" s="6" t="s">
        <v>16</v>
      </c>
      <c r="B4" s="6" t="s">
        <v>44</v>
      </c>
      <c r="C4" s="6" t="s">
        <v>45</v>
      </c>
      <c r="D4" s="6" t="s">
        <v>50</v>
      </c>
      <c r="E4" s="6" t="s">
        <v>18</v>
      </c>
      <c r="F4" s="6" t="s">
        <v>20</v>
      </c>
      <c r="G4" s="6" t="s">
        <v>22</v>
      </c>
      <c r="H4" s="6" t="s">
        <v>24</v>
      </c>
      <c r="I4" s="6" t="s">
        <v>26</v>
      </c>
      <c r="J4" s="6" t="s">
        <v>115</v>
      </c>
    </row>
    <row r="5" customFormat="false" ht="15" hidden="false" customHeight="false" outlineLevel="0" collapsed="false">
      <c r="A5" s="12" t="n">
        <f aca="false">'All Seasons'!B62</f>
        <v>1</v>
      </c>
      <c r="B5" s="13" t="str">
        <f aca="false">'All Seasons'!C62</f>
        <v>Donkey Punchers</v>
      </c>
      <c r="C5" s="13" t="str">
        <f aca="false">'All Seasons'!D62</f>
        <v>Barrett</v>
      </c>
      <c r="D5" s="12" t="str">
        <f aca="false">'All Seasons'!I62</f>
        <v>10-3-0</v>
      </c>
      <c r="E5" s="19" t="n">
        <f aca="false">'All Seasons'!J62</f>
        <v>0.769230769230769</v>
      </c>
      <c r="F5" s="15" t="n">
        <f aca="false">'All Seasons'!K62</f>
        <v>1474</v>
      </c>
      <c r="G5" s="20" t="n">
        <f aca="false">'All Seasons'!L62</f>
        <v>113.384615384615</v>
      </c>
      <c r="H5" s="12" t="n">
        <f aca="false">'All Seasons'!M62</f>
        <v>1</v>
      </c>
      <c r="I5" s="12" t="n">
        <f aca="false">'All Seasons'!N62</f>
        <v>1</v>
      </c>
      <c r="J5" s="12" t="str">
        <f aca="false">IF('All Seasons'!O62=1,"YES","-")</f>
        <v>YES</v>
      </c>
    </row>
    <row r="6" customFormat="false" ht="15" hidden="false" customHeight="false" outlineLevel="0" collapsed="false">
      <c r="A6" s="12" t="n">
        <f aca="false">'All Seasons'!B63</f>
        <v>2</v>
      </c>
      <c r="B6" s="13" t="str">
        <f aca="false">'All Seasons'!C63</f>
        <v>Boda's Buttkickers</v>
      </c>
      <c r="C6" s="13" t="str">
        <f aca="false">'All Seasons'!D63</f>
        <v>Greg</v>
      </c>
      <c r="D6" s="12" t="str">
        <f aca="false">'All Seasons'!I63</f>
        <v>6-7-0</v>
      </c>
      <c r="E6" s="19" t="n">
        <f aca="false">'All Seasons'!J63</f>
        <v>0.461538461538462</v>
      </c>
      <c r="F6" s="15" t="n">
        <f aca="false">'All Seasons'!K63</f>
        <v>1307</v>
      </c>
      <c r="G6" s="20" t="n">
        <f aca="false">'All Seasons'!L63</f>
        <v>100.538461538462</v>
      </c>
      <c r="H6" s="12" t="n">
        <f aca="false">'All Seasons'!M63</f>
        <v>7</v>
      </c>
      <c r="I6" s="12" t="n">
        <f aca="false">'All Seasons'!N63</f>
        <v>7</v>
      </c>
      <c r="J6" s="12" t="str">
        <f aca="false">IF('All Seasons'!O63=1,"YES","-")</f>
        <v>-</v>
      </c>
    </row>
    <row r="7" customFormat="false" ht="15" hidden="false" customHeight="false" outlineLevel="0" collapsed="false">
      <c r="A7" s="12" t="n">
        <f aca="false">'All Seasons'!B64</f>
        <v>3</v>
      </c>
      <c r="B7" s="13" t="str">
        <f aca="false">'All Seasons'!C64</f>
        <v>AssKickers</v>
      </c>
      <c r="C7" s="13" t="str">
        <f aca="false">'All Seasons'!D64</f>
        <v>Rob M</v>
      </c>
      <c r="D7" s="12" t="str">
        <f aca="false">'All Seasons'!I64</f>
        <v>8-5-0</v>
      </c>
      <c r="E7" s="19" t="n">
        <f aca="false">'All Seasons'!J64</f>
        <v>0.615384615384615</v>
      </c>
      <c r="F7" s="15" t="n">
        <f aca="false">'All Seasons'!K64</f>
        <v>1458</v>
      </c>
      <c r="G7" s="20" t="n">
        <f aca="false">'All Seasons'!L64</f>
        <v>112.153846153846</v>
      </c>
      <c r="H7" s="12" t="n">
        <f aca="false">'All Seasons'!M64</f>
        <v>2</v>
      </c>
      <c r="I7" s="12" t="n">
        <f aca="false">'All Seasons'!N64</f>
        <v>2</v>
      </c>
      <c r="J7" s="12" t="str">
        <f aca="false">IF('All Seasons'!O64=1,"YES","-")</f>
        <v>YES</v>
      </c>
    </row>
    <row r="8" customFormat="false" ht="15" hidden="false" customHeight="false" outlineLevel="0" collapsed="false">
      <c r="A8" s="12" t="n">
        <f aca="false">'All Seasons'!B65</f>
        <v>4</v>
      </c>
      <c r="B8" s="13" t="str">
        <f aca="false">'All Seasons'!C65</f>
        <v>RedNecks</v>
      </c>
      <c r="C8" s="13" t="str">
        <f aca="false">'All Seasons'!D65</f>
        <v>Jim</v>
      </c>
      <c r="D8" s="12" t="str">
        <f aca="false">'All Seasons'!I65</f>
        <v>9-4-0</v>
      </c>
      <c r="E8" s="19" t="n">
        <f aca="false">'All Seasons'!J65</f>
        <v>0.692307692307692</v>
      </c>
      <c r="F8" s="15" t="n">
        <f aca="false">'All Seasons'!K65</f>
        <v>1441</v>
      </c>
      <c r="G8" s="20" t="n">
        <f aca="false">'All Seasons'!L65</f>
        <v>110.846153846154</v>
      </c>
      <c r="H8" s="12" t="n">
        <f aca="false">'All Seasons'!M65</f>
        <v>4</v>
      </c>
      <c r="I8" s="12" t="n">
        <f aca="false">'All Seasons'!N65</f>
        <v>4</v>
      </c>
      <c r="J8" s="12" t="str">
        <f aca="false">IF('All Seasons'!O65=1,"YES","-")</f>
        <v>YES</v>
      </c>
    </row>
    <row r="9" customFormat="false" ht="15" hidden="false" customHeight="false" outlineLevel="0" collapsed="false">
      <c r="A9" s="12" t="n">
        <f aca="false">'All Seasons'!B66</f>
        <v>5</v>
      </c>
      <c r="B9" s="13" t="str">
        <f aca="false">'All Seasons'!C66</f>
        <v>Ziggy Starfish</v>
      </c>
      <c r="C9" s="13" t="str">
        <f aca="false">'All Seasons'!D66</f>
        <v>Keith</v>
      </c>
      <c r="D9" s="12" t="str">
        <f aca="false">'All Seasons'!I66</f>
        <v>8-5-0</v>
      </c>
      <c r="E9" s="19" t="n">
        <f aca="false">'All Seasons'!J66</f>
        <v>0.615384615384615</v>
      </c>
      <c r="F9" s="15" t="n">
        <f aca="false">'All Seasons'!K66</f>
        <v>1457</v>
      </c>
      <c r="G9" s="20" t="n">
        <f aca="false">'All Seasons'!L66</f>
        <v>112.076923076923</v>
      </c>
      <c r="H9" s="12" t="n">
        <f aca="false">'All Seasons'!M66</f>
        <v>3</v>
      </c>
      <c r="I9" s="12" t="n">
        <f aca="false">'All Seasons'!N66</f>
        <v>3</v>
      </c>
      <c r="J9" s="12" t="str">
        <f aca="false">IF('All Seasons'!O66=1,"YES","-")</f>
        <v>YES</v>
      </c>
    </row>
    <row r="10" customFormat="false" ht="15" hidden="false" customHeight="false" outlineLevel="0" collapsed="false">
      <c r="A10" s="12" t="n">
        <f aca="false">'All Seasons'!B67</f>
        <v>6</v>
      </c>
      <c r="B10" s="13" t="str">
        <f aca="false">'All Seasons'!C67</f>
        <v>Scott's Scabs</v>
      </c>
      <c r="C10" s="13" t="str">
        <f aca="false">'All Seasons'!D67</f>
        <v>Scott</v>
      </c>
      <c r="D10" s="12" t="str">
        <f aca="false">'All Seasons'!I67</f>
        <v>4-9-0</v>
      </c>
      <c r="E10" s="19" t="n">
        <f aca="false">'All Seasons'!J67</f>
        <v>0.307692307692308</v>
      </c>
      <c r="F10" s="15" t="n">
        <f aca="false">'All Seasons'!K67</f>
        <v>1387</v>
      </c>
      <c r="G10" s="20" t="n">
        <f aca="false">'All Seasons'!L67</f>
        <v>106.692307692308</v>
      </c>
      <c r="H10" s="12" t="n">
        <f aca="false">'All Seasons'!M67</f>
        <v>5</v>
      </c>
      <c r="I10" s="12" t="n">
        <f aca="false">'All Seasons'!N67</f>
        <v>8</v>
      </c>
      <c r="J10" s="12" t="str">
        <f aca="false">IF('All Seasons'!O67=1,"YES","-")</f>
        <v>-</v>
      </c>
    </row>
    <row r="11" customFormat="false" ht="15" hidden="false" customHeight="false" outlineLevel="0" collapsed="false">
      <c r="A11" s="12" t="n">
        <f aca="false">'All Seasons'!B68</f>
        <v>7</v>
      </c>
      <c r="B11" s="13" t="str">
        <f aca="false">'All Seasons'!C68</f>
        <v>Vandalay Industries</v>
      </c>
      <c r="C11" s="13" t="str">
        <f aca="false">'All Seasons'!D68</f>
        <v>John</v>
      </c>
      <c r="D11" s="12" t="str">
        <f aca="false">'All Seasons'!I68</f>
        <v>4-9-0</v>
      </c>
      <c r="E11" s="19" t="n">
        <f aca="false">'All Seasons'!J68</f>
        <v>0.307692307692308</v>
      </c>
      <c r="F11" s="15" t="n">
        <f aca="false">'All Seasons'!K68</f>
        <v>1221</v>
      </c>
      <c r="G11" s="20" t="n">
        <f aca="false">'All Seasons'!L68</f>
        <v>93.9230769230769</v>
      </c>
      <c r="H11" s="12" t="n">
        <f aca="false">'All Seasons'!M68</f>
        <v>11</v>
      </c>
      <c r="I11" s="12" t="n">
        <f aca="false">'All Seasons'!N68</f>
        <v>12</v>
      </c>
      <c r="J11" s="12" t="str">
        <f aca="false">IF('All Seasons'!O68=1,"YES","-")</f>
        <v>-</v>
      </c>
    </row>
    <row r="12" customFormat="false" ht="15" hidden="false" customHeight="false" outlineLevel="0" collapsed="false">
      <c r="A12" s="12" t="n">
        <f aca="false">'All Seasons'!B69</f>
        <v>8</v>
      </c>
      <c r="B12" s="13" t="str">
        <f aca="false">'All Seasons'!C69</f>
        <v>Closer</v>
      </c>
      <c r="C12" s="13" t="str">
        <f aca="false">'All Seasons'!D69</f>
        <v>Rick</v>
      </c>
      <c r="D12" s="12" t="str">
        <f aca="false">'All Seasons'!I69</f>
        <v>6-7-0</v>
      </c>
      <c r="E12" s="19" t="n">
        <f aca="false">'All Seasons'!J69</f>
        <v>0.461538461538462</v>
      </c>
      <c r="F12" s="15" t="n">
        <f aca="false">'All Seasons'!K69</f>
        <v>1262</v>
      </c>
      <c r="G12" s="20" t="n">
        <f aca="false">'All Seasons'!L69</f>
        <v>97.0769230769231</v>
      </c>
      <c r="H12" s="12" t="n">
        <f aca="false">'All Seasons'!M69</f>
        <v>9</v>
      </c>
      <c r="I12" s="12" t="n">
        <f aca="false">'All Seasons'!N69</f>
        <v>6</v>
      </c>
      <c r="J12" s="12" t="str">
        <f aca="false">IF('All Seasons'!O69=1,"YES","-")</f>
        <v>YES</v>
      </c>
    </row>
    <row r="13" customFormat="false" ht="15" hidden="false" customHeight="false" outlineLevel="0" collapsed="false">
      <c r="A13" s="12" t="n">
        <f aca="false">'All Seasons'!B70</f>
        <v>9</v>
      </c>
      <c r="B13" s="13" t="str">
        <f aca="false">'All Seasons'!C70</f>
        <v>Big Red Machine</v>
      </c>
      <c r="C13" s="13" t="str">
        <f aca="false">'All Seasons'!D70</f>
        <v>Cory</v>
      </c>
      <c r="D13" s="12" t="str">
        <f aca="false">'All Seasons'!I70</f>
        <v>4-9-0</v>
      </c>
      <c r="E13" s="19" t="n">
        <f aca="false">'All Seasons'!J70</f>
        <v>0.307692307692308</v>
      </c>
      <c r="F13" s="15" t="n">
        <f aca="false">'All Seasons'!K70</f>
        <v>1282</v>
      </c>
      <c r="G13" s="20" t="n">
        <f aca="false">'All Seasons'!L70</f>
        <v>98.6153846153846</v>
      </c>
      <c r="H13" s="12" t="n">
        <f aca="false">'All Seasons'!M70</f>
        <v>8</v>
      </c>
      <c r="I13" s="12" t="n">
        <f aca="false">'All Seasons'!N70</f>
        <v>10</v>
      </c>
      <c r="J13" s="12" t="str">
        <f aca="false">IF('All Seasons'!O70=1,"YES","-")</f>
        <v>-</v>
      </c>
    </row>
    <row r="14" customFormat="false" ht="15" hidden="false" customHeight="false" outlineLevel="0" collapsed="false">
      <c r="A14" s="12" t="n">
        <f aca="false">'All Seasons'!B71</f>
        <v>10</v>
      </c>
      <c r="B14" s="13" t="str">
        <f aca="false">'All Seasons'!C71</f>
        <v>Spike's Chupacabras</v>
      </c>
      <c r="C14" s="13" t="str">
        <f aca="false">'All Seasons'!D71</f>
        <v>Spike</v>
      </c>
      <c r="D14" s="12" t="str">
        <f aca="false">'All Seasons'!I71</f>
        <v>6-7-0</v>
      </c>
      <c r="E14" s="19" t="n">
        <f aca="false">'All Seasons'!J71</f>
        <v>0.461538461538462</v>
      </c>
      <c r="F14" s="15" t="n">
        <f aca="false">'All Seasons'!K71</f>
        <v>1247</v>
      </c>
      <c r="G14" s="20" t="n">
        <f aca="false">'All Seasons'!L71</f>
        <v>95.9230769230769</v>
      </c>
      <c r="H14" s="12" t="n">
        <f aca="false">'All Seasons'!M71</f>
        <v>10</v>
      </c>
      <c r="I14" s="12" t="n">
        <f aca="false">'All Seasons'!N71</f>
        <v>9</v>
      </c>
      <c r="J14" s="12" t="str">
        <f aca="false">IF('All Seasons'!O71=1,"YES","-")</f>
        <v>-</v>
      </c>
    </row>
    <row r="15" customFormat="false" ht="15" hidden="false" customHeight="false" outlineLevel="0" collapsed="false">
      <c r="A15" s="12" t="n">
        <f aca="false">'All Seasons'!B72</f>
        <v>11</v>
      </c>
      <c r="B15" s="13" t="str">
        <f aca="false">'All Seasons'!C72</f>
        <v>RedZone480</v>
      </c>
      <c r="C15" s="13" t="str">
        <f aca="false">'All Seasons'!D72</f>
        <v>Robert</v>
      </c>
      <c r="D15" s="12" t="str">
        <f aca="false">'All Seasons'!I72</f>
        <v>9-4-0</v>
      </c>
      <c r="E15" s="19" t="n">
        <f aca="false">'All Seasons'!J72</f>
        <v>0.692307692307692</v>
      </c>
      <c r="F15" s="15" t="n">
        <f aca="false">'All Seasons'!K72</f>
        <v>1378</v>
      </c>
      <c r="G15" s="20" t="n">
        <f aca="false">'All Seasons'!L72</f>
        <v>106</v>
      </c>
      <c r="H15" s="12" t="n">
        <f aca="false">'All Seasons'!M72</f>
        <v>6</v>
      </c>
      <c r="I15" s="12" t="n">
        <f aca="false">'All Seasons'!N72</f>
        <v>5</v>
      </c>
      <c r="J15" s="12" t="str">
        <f aca="false">IF('All Seasons'!O72=1,"YES","-")</f>
        <v>YES</v>
      </c>
    </row>
    <row r="16" customFormat="false" ht="15" hidden="false" customHeight="false" outlineLevel="0" collapsed="false">
      <c r="A16" s="12" t="n">
        <f aca="false">'All Seasons'!B73</f>
        <v>12</v>
      </c>
      <c r="B16" s="13" t="str">
        <f aca="false">'All Seasons'!C73</f>
        <v>Going Postal</v>
      </c>
      <c r="C16" s="13" t="str">
        <f aca="false">'All Seasons'!D73</f>
        <v>Steve</v>
      </c>
      <c r="D16" s="12" t="str">
        <f aca="false">'All Seasons'!I73</f>
        <v>4-9-0</v>
      </c>
      <c r="E16" s="19" t="n">
        <f aca="false">'All Seasons'!J73</f>
        <v>0.307692307692308</v>
      </c>
      <c r="F16" s="15" t="n">
        <f aca="false">'All Seasons'!K73</f>
        <v>1159</v>
      </c>
      <c r="G16" s="20" t="n">
        <f aca="false">'All Seasons'!L73</f>
        <v>89.1538461538462</v>
      </c>
      <c r="H16" s="12" t="n">
        <f aca="false">'All Seasons'!M73</f>
        <v>12</v>
      </c>
      <c r="I16" s="12" t="n">
        <f aca="false">'All Seasons'!N73</f>
        <v>11</v>
      </c>
      <c r="J16" s="12" t="str">
        <f aca="false">IF('All Seasons'!O73=1,"YES","-")</f>
        <v>-</v>
      </c>
    </row>
    <row r="17" customFormat="false" ht="15" hidden="false" customHeight="false" outlineLevel="0" collapsed="false">
      <c r="B17" s="21" t="s">
        <v>116</v>
      </c>
      <c r="E17" s="22" t="n">
        <f aca="false">AVERAGE(E5:E16)</f>
        <v>0.5</v>
      </c>
      <c r="F17" s="23" t="n">
        <f aca="false">SUM(F5:F16)</f>
        <v>16073</v>
      </c>
      <c r="G17" s="24" t="n">
        <f aca="false">AVERAGE(G5:G16)</f>
        <v>103.032051282051</v>
      </c>
    </row>
    <row r="19" customFormat="false" ht="15" hidden="false" customHeight="false" outlineLevel="0" collapsed="false">
      <c r="A19" s="25" t="s">
        <v>117</v>
      </c>
    </row>
    <row r="20" customFormat="false" ht="15" hidden="false" customHeight="false" outlineLevel="0" collapsed="false">
      <c r="A20" s="3" t="s">
        <v>18</v>
      </c>
      <c r="C20" s="26" t="n">
        <f aca="false">CORREL($A$5:$A$16,E5:E16)</f>
        <v>-0.473587168431523</v>
      </c>
    </row>
    <row r="21" customFormat="false" ht="15" hidden="false" customHeight="false" outlineLevel="0" collapsed="false">
      <c r="A21" s="3" t="s">
        <v>22</v>
      </c>
      <c r="C21" s="26" t="n">
        <f aca="false">CORREL($A$5:$A$16,G5:G16)</f>
        <v>-0.690263924505721</v>
      </c>
    </row>
    <row r="22" customFormat="false" ht="15" hidden="false" customHeight="false" outlineLevel="0" collapsed="false">
      <c r="A22" s="3" t="s">
        <v>118</v>
      </c>
      <c r="C22" s="26" t="n">
        <f aca="false">CORREL($A$5:$A$16,H5:H16)</f>
        <v>0.741258741258741</v>
      </c>
    </row>
    <row r="23" customFormat="false" ht="15" hidden="false" customHeight="false" outlineLevel="0" collapsed="false">
      <c r="A23" s="3" t="s">
        <v>119</v>
      </c>
      <c r="C23" s="26" t="n">
        <f aca="false">CORREL($A$5:$A$16,I5:I16)</f>
        <v>0.643356643356643</v>
      </c>
    </row>
    <row r="24" customFormat="false" ht="15" hidden="false" customHeight="false" outlineLevel="0" collapsed="false">
      <c r="A24" s="2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7" t="s">
        <v>126</v>
      </c>
    </row>
    <row r="2" customFormat="false" ht="15" hidden="false" customHeight="false" outlineLevel="0" collapsed="false">
      <c r="A2" s="18" t="s">
        <v>114</v>
      </c>
    </row>
    <row r="4" customFormat="false" ht="15" hidden="false" customHeight="false" outlineLevel="0" collapsed="false">
      <c r="A4" s="6" t="s">
        <v>16</v>
      </c>
      <c r="B4" s="6" t="s">
        <v>44</v>
      </c>
      <c r="C4" s="6" t="s">
        <v>45</v>
      </c>
      <c r="D4" s="6" t="s">
        <v>50</v>
      </c>
      <c r="E4" s="6" t="s">
        <v>18</v>
      </c>
      <c r="F4" s="6" t="s">
        <v>20</v>
      </c>
      <c r="G4" s="6" t="s">
        <v>22</v>
      </c>
      <c r="H4" s="6" t="s">
        <v>24</v>
      </c>
      <c r="I4" s="6" t="s">
        <v>26</v>
      </c>
      <c r="J4" s="6" t="s">
        <v>115</v>
      </c>
    </row>
    <row r="5" customFormat="false" ht="15" hidden="false" customHeight="false" outlineLevel="0" collapsed="false">
      <c r="A5" s="12" t="n">
        <f aca="false">'All Seasons'!B74</f>
        <v>1</v>
      </c>
      <c r="B5" s="13" t="str">
        <f aca="false">'All Seasons'!C74</f>
        <v>Donkey Punchers</v>
      </c>
      <c r="C5" s="13" t="str">
        <f aca="false">'All Seasons'!D74</f>
        <v>Barrett</v>
      </c>
      <c r="D5" s="12" t="str">
        <f aca="false">'All Seasons'!I74</f>
        <v>10-3-0</v>
      </c>
      <c r="E5" s="19" t="n">
        <f aca="false">'All Seasons'!J74</f>
        <v>0.769230769230769</v>
      </c>
      <c r="F5" s="15" t="n">
        <f aca="false">'All Seasons'!K74</f>
        <v>1402</v>
      </c>
      <c r="G5" s="20" t="n">
        <f aca="false">'All Seasons'!L74</f>
        <v>107.846153846154</v>
      </c>
      <c r="H5" s="12" t="n">
        <f aca="false">'All Seasons'!M74</f>
        <v>2</v>
      </c>
      <c r="I5" s="12" t="n">
        <f aca="false">'All Seasons'!N74</f>
        <v>4</v>
      </c>
      <c r="J5" s="12" t="str">
        <f aca="false">IF('All Seasons'!O74=1,"YES","-")</f>
        <v>YES</v>
      </c>
    </row>
    <row r="6" customFormat="false" ht="15" hidden="false" customHeight="false" outlineLevel="0" collapsed="false">
      <c r="A6" s="12" t="n">
        <f aca="false">'All Seasons'!B75</f>
        <v>2</v>
      </c>
      <c r="B6" s="13" t="str">
        <f aca="false">'All Seasons'!C75</f>
        <v>AssKickers</v>
      </c>
      <c r="C6" s="13" t="str">
        <f aca="false">'All Seasons'!D75</f>
        <v>Rob M</v>
      </c>
      <c r="D6" s="12" t="str">
        <f aca="false">'All Seasons'!I75</f>
        <v>4-9-0</v>
      </c>
      <c r="E6" s="19" t="n">
        <f aca="false">'All Seasons'!J75</f>
        <v>0.307692307692308</v>
      </c>
      <c r="F6" s="15" t="n">
        <f aca="false">'All Seasons'!K75</f>
        <v>1331</v>
      </c>
      <c r="G6" s="20" t="n">
        <f aca="false">'All Seasons'!L75</f>
        <v>102.384615384615</v>
      </c>
      <c r="H6" s="12" t="n">
        <f aca="false">'All Seasons'!M75</f>
        <v>3</v>
      </c>
      <c r="I6" s="12" t="n">
        <f aca="false">'All Seasons'!N75</f>
        <v>10</v>
      </c>
      <c r="J6" s="12" t="str">
        <f aca="false">IF('All Seasons'!O75=1,"YES","-")</f>
        <v>-</v>
      </c>
    </row>
    <row r="7" customFormat="false" ht="15" hidden="false" customHeight="false" outlineLevel="0" collapsed="false">
      <c r="A7" s="12" t="n">
        <f aca="false">'All Seasons'!B76</f>
        <v>3</v>
      </c>
      <c r="B7" s="13" t="str">
        <f aca="false">'All Seasons'!C76</f>
        <v>Ziggy Starfish</v>
      </c>
      <c r="C7" s="13" t="str">
        <f aca="false">'All Seasons'!D76</f>
        <v>Keith</v>
      </c>
      <c r="D7" s="12" t="str">
        <f aca="false">'All Seasons'!I76</f>
        <v>12-1-0</v>
      </c>
      <c r="E7" s="19" t="n">
        <f aca="false">'All Seasons'!J76</f>
        <v>0.923076923076923</v>
      </c>
      <c r="F7" s="15" t="n">
        <f aca="false">'All Seasons'!K76</f>
        <v>1618</v>
      </c>
      <c r="G7" s="20" t="n">
        <f aca="false">'All Seasons'!L76</f>
        <v>124.461538461538</v>
      </c>
      <c r="H7" s="12" t="n">
        <f aca="false">'All Seasons'!M76</f>
        <v>1</v>
      </c>
      <c r="I7" s="12" t="n">
        <f aca="false">'All Seasons'!N76</f>
        <v>2</v>
      </c>
      <c r="J7" s="12" t="str">
        <f aca="false">IF('All Seasons'!O76=1,"YES","-")</f>
        <v>YES</v>
      </c>
    </row>
    <row r="8" customFormat="false" ht="15" hidden="false" customHeight="false" outlineLevel="0" collapsed="false">
      <c r="A8" s="12" t="n">
        <f aca="false">'All Seasons'!B77</f>
        <v>4</v>
      </c>
      <c r="B8" s="13" t="str">
        <f aca="false">'All Seasons'!C77</f>
        <v>Vandalay Industries</v>
      </c>
      <c r="C8" s="13" t="str">
        <f aca="false">'All Seasons'!D77</f>
        <v>John</v>
      </c>
      <c r="D8" s="12" t="str">
        <f aca="false">'All Seasons'!I77</f>
        <v>6-7-0</v>
      </c>
      <c r="E8" s="19" t="n">
        <f aca="false">'All Seasons'!J77</f>
        <v>0.461538461538462</v>
      </c>
      <c r="F8" s="15" t="n">
        <f aca="false">'All Seasons'!K77</f>
        <v>1167</v>
      </c>
      <c r="G8" s="20" t="n">
        <f aca="false">'All Seasons'!L77</f>
        <v>89.7692307692308</v>
      </c>
      <c r="H8" s="12" t="n">
        <f aca="false">'All Seasons'!M77</f>
        <v>9</v>
      </c>
      <c r="I8" s="12" t="n">
        <f aca="false">'All Seasons'!N77</f>
        <v>7</v>
      </c>
      <c r="J8" s="12" t="str">
        <f aca="false">IF('All Seasons'!O77=1,"YES","-")</f>
        <v>-</v>
      </c>
    </row>
    <row r="9" customFormat="false" ht="15" hidden="false" customHeight="false" outlineLevel="0" collapsed="false">
      <c r="A9" s="12" t="n">
        <f aca="false">'All Seasons'!B78</f>
        <v>5</v>
      </c>
      <c r="B9" s="13" t="str">
        <f aca="false">'All Seasons'!C78</f>
        <v>Closer</v>
      </c>
      <c r="C9" s="13" t="str">
        <f aca="false">'All Seasons'!D78</f>
        <v>Rick</v>
      </c>
      <c r="D9" s="12" t="str">
        <f aca="false">'All Seasons'!I78</f>
        <v>7-6-0</v>
      </c>
      <c r="E9" s="19" t="n">
        <f aca="false">'All Seasons'!J78</f>
        <v>0.538461538461538</v>
      </c>
      <c r="F9" s="15" t="n">
        <f aca="false">'All Seasons'!K78</f>
        <v>1286</v>
      </c>
      <c r="G9" s="20" t="n">
        <f aca="false">'All Seasons'!L78</f>
        <v>98.9230769230769</v>
      </c>
      <c r="H9" s="12" t="n">
        <f aca="false">'All Seasons'!M78</f>
        <v>6</v>
      </c>
      <c r="I9" s="12" t="n">
        <f aca="false">'All Seasons'!N78</f>
        <v>1</v>
      </c>
      <c r="J9" s="12" t="str">
        <f aca="false">IF('All Seasons'!O78=1,"YES","-")</f>
        <v>YES</v>
      </c>
    </row>
    <row r="10" customFormat="false" ht="15" hidden="false" customHeight="false" outlineLevel="0" collapsed="false">
      <c r="A10" s="12" t="n">
        <f aca="false">'All Seasons'!B79</f>
        <v>6</v>
      </c>
      <c r="B10" s="13" t="str">
        <f aca="false">'All Seasons'!C79</f>
        <v>Spike's Chupacabras</v>
      </c>
      <c r="C10" s="13" t="str">
        <f aca="false">'All Seasons'!D79</f>
        <v>Spike</v>
      </c>
      <c r="D10" s="12" t="str">
        <f aca="false">'All Seasons'!I79</f>
        <v>3-10-0</v>
      </c>
      <c r="E10" s="19" t="n">
        <f aca="false">'All Seasons'!J79</f>
        <v>0.230769230769231</v>
      </c>
      <c r="F10" s="15" t="n">
        <f aca="false">'All Seasons'!K79</f>
        <v>1067</v>
      </c>
      <c r="G10" s="20" t="n">
        <f aca="false">'All Seasons'!L79</f>
        <v>82.0769230769231</v>
      </c>
      <c r="H10" s="12" t="n">
        <f aca="false">'All Seasons'!M79</f>
        <v>12</v>
      </c>
      <c r="I10" s="12" t="n">
        <f aca="false">'All Seasons'!N79</f>
        <v>9</v>
      </c>
      <c r="J10" s="12" t="str">
        <f aca="false">IF('All Seasons'!O79=1,"YES","-")</f>
        <v>-</v>
      </c>
    </row>
    <row r="11" customFormat="false" ht="15" hidden="false" customHeight="false" outlineLevel="0" collapsed="false">
      <c r="A11" s="12" t="n">
        <f aca="false">'All Seasons'!B80</f>
        <v>7</v>
      </c>
      <c r="B11" s="13" t="str">
        <f aca="false">'All Seasons'!C80</f>
        <v>Scott's Scabs</v>
      </c>
      <c r="C11" s="13" t="str">
        <f aca="false">'All Seasons'!D80</f>
        <v>Scott</v>
      </c>
      <c r="D11" s="12" t="str">
        <f aca="false">'All Seasons'!I80</f>
        <v>6-7-0</v>
      </c>
      <c r="E11" s="19" t="n">
        <f aca="false">'All Seasons'!J80</f>
        <v>0.461538461538462</v>
      </c>
      <c r="F11" s="15" t="n">
        <f aca="false">'All Seasons'!K80</f>
        <v>1221</v>
      </c>
      <c r="G11" s="20" t="n">
        <f aca="false">'All Seasons'!L80</f>
        <v>93.9230769230769</v>
      </c>
      <c r="H11" s="12" t="n">
        <f aca="false">'All Seasons'!M80</f>
        <v>8</v>
      </c>
      <c r="I11" s="12" t="n">
        <f aca="false">'All Seasons'!N80</f>
        <v>8</v>
      </c>
      <c r="J11" s="12" t="str">
        <f aca="false">IF('All Seasons'!O80=1,"YES","-")</f>
        <v>-</v>
      </c>
    </row>
    <row r="12" customFormat="false" ht="15" hidden="false" customHeight="false" outlineLevel="0" collapsed="false">
      <c r="A12" s="12" t="n">
        <f aca="false">'All Seasons'!B81</f>
        <v>8</v>
      </c>
      <c r="B12" s="13" t="str">
        <f aca="false">'All Seasons'!C81</f>
        <v>Boda's Buttkickers</v>
      </c>
      <c r="C12" s="13" t="str">
        <f aca="false">'All Seasons'!D81</f>
        <v>Greg</v>
      </c>
      <c r="D12" s="12" t="str">
        <f aca="false">'All Seasons'!I81</f>
        <v>3-10-0</v>
      </c>
      <c r="E12" s="19" t="n">
        <f aca="false">'All Seasons'!J81</f>
        <v>0.230769230769231</v>
      </c>
      <c r="F12" s="15" t="n">
        <f aca="false">'All Seasons'!K81</f>
        <v>1086</v>
      </c>
      <c r="G12" s="20" t="n">
        <f aca="false">'All Seasons'!L81</f>
        <v>83.5384615384615</v>
      </c>
      <c r="H12" s="12" t="n">
        <f aca="false">'All Seasons'!M81</f>
        <v>11</v>
      </c>
      <c r="I12" s="12" t="n">
        <f aca="false">'All Seasons'!N81</f>
        <v>12</v>
      </c>
      <c r="J12" s="12" t="str">
        <f aca="false">IF('All Seasons'!O81=1,"YES","-")</f>
        <v>-</v>
      </c>
    </row>
    <row r="13" customFormat="false" ht="15" hidden="false" customHeight="false" outlineLevel="0" collapsed="false">
      <c r="A13" s="12" t="n">
        <f aca="false">'All Seasons'!B82</f>
        <v>9</v>
      </c>
      <c r="B13" s="13" t="str">
        <f aca="false">'All Seasons'!C82</f>
        <v>Going Postal</v>
      </c>
      <c r="C13" s="13" t="str">
        <f aca="false">'All Seasons'!D82</f>
        <v>Steve</v>
      </c>
      <c r="D13" s="12" t="str">
        <f aca="false">'All Seasons'!I82</f>
        <v>6-7-0</v>
      </c>
      <c r="E13" s="19" t="n">
        <f aca="false">'All Seasons'!J82</f>
        <v>0.461538461538462</v>
      </c>
      <c r="F13" s="15" t="n">
        <f aca="false">'All Seasons'!K82</f>
        <v>1224</v>
      </c>
      <c r="G13" s="20" t="n">
        <f aca="false">'All Seasons'!L82</f>
        <v>94.1538461538462</v>
      </c>
      <c r="H13" s="12" t="n">
        <f aca="false">'All Seasons'!M82</f>
        <v>7</v>
      </c>
      <c r="I13" s="12" t="n">
        <f aca="false">'All Seasons'!N82</f>
        <v>6</v>
      </c>
      <c r="J13" s="12" t="str">
        <f aca="false">IF('All Seasons'!O82=1,"YES","-")</f>
        <v>YES</v>
      </c>
    </row>
    <row r="14" customFormat="false" ht="15" hidden="false" customHeight="false" outlineLevel="0" collapsed="false">
      <c r="A14" s="12" t="n">
        <f aca="false">'All Seasons'!B83</f>
        <v>10</v>
      </c>
      <c r="B14" s="13" t="str">
        <f aca="false">'All Seasons'!C83</f>
        <v>RedNecks</v>
      </c>
      <c r="C14" s="13" t="str">
        <f aca="false">'All Seasons'!D83</f>
        <v>Jim</v>
      </c>
      <c r="D14" s="12" t="str">
        <f aca="false">'All Seasons'!I83</f>
        <v>5-8-0</v>
      </c>
      <c r="E14" s="19" t="n">
        <f aca="false">'All Seasons'!J83</f>
        <v>0.384615384615385</v>
      </c>
      <c r="F14" s="15" t="n">
        <f aca="false">'All Seasons'!K83</f>
        <v>1157</v>
      </c>
      <c r="G14" s="20" t="n">
        <f aca="false">'All Seasons'!L83</f>
        <v>89</v>
      </c>
      <c r="H14" s="12" t="n">
        <f aca="false">'All Seasons'!M83</f>
        <v>10</v>
      </c>
      <c r="I14" s="12" t="n">
        <f aca="false">'All Seasons'!N83</f>
        <v>11</v>
      </c>
      <c r="J14" s="12" t="str">
        <f aca="false">IF('All Seasons'!O83=1,"YES","-")</f>
        <v>-</v>
      </c>
    </row>
    <row r="15" customFormat="false" ht="15" hidden="false" customHeight="false" outlineLevel="0" collapsed="false">
      <c r="A15" s="12" t="n">
        <f aca="false">'All Seasons'!B84</f>
        <v>11</v>
      </c>
      <c r="B15" s="13" t="str">
        <f aca="false">'All Seasons'!C84</f>
        <v>Big Red Machine</v>
      </c>
      <c r="C15" s="13" t="str">
        <f aca="false">'All Seasons'!D84</f>
        <v>Cory</v>
      </c>
      <c r="D15" s="12" t="str">
        <f aca="false">'All Seasons'!I84</f>
        <v>8-5-0</v>
      </c>
      <c r="E15" s="19" t="n">
        <f aca="false">'All Seasons'!J84</f>
        <v>0.615384615384615</v>
      </c>
      <c r="F15" s="15" t="n">
        <f aca="false">'All Seasons'!K84</f>
        <v>1323</v>
      </c>
      <c r="G15" s="20" t="n">
        <f aca="false">'All Seasons'!L84</f>
        <v>101.769230769231</v>
      </c>
      <c r="H15" s="12" t="n">
        <f aca="false">'All Seasons'!M84</f>
        <v>4</v>
      </c>
      <c r="I15" s="12" t="n">
        <f aca="false">'All Seasons'!N84</f>
        <v>5</v>
      </c>
      <c r="J15" s="12" t="str">
        <f aca="false">IF('All Seasons'!O84=1,"YES","-")</f>
        <v>YES</v>
      </c>
    </row>
    <row r="16" customFormat="false" ht="15" hidden="false" customHeight="false" outlineLevel="0" collapsed="false">
      <c r="A16" s="12" t="n">
        <f aca="false">'All Seasons'!B85</f>
        <v>12</v>
      </c>
      <c r="B16" s="13" t="str">
        <f aca="false">'All Seasons'!C85</f>
        <v>RedZone480</v>
      </c>
      <c r="C16" s="13" t="str">
        <f aca="false">'All Seasons'!D85</f>
        <v>Robert</v>
      </c>
      <c r="D16" s="12" t="str">
        <f aca="false">'All Seasons'!I85</f>
        <v>8-5-0</v>
      </c>
      <c r="E16" s="19" t="n">
        <f aca="false">'All Seasons'!J85</f>
        <v>0.615384615384615</v>
      </c>
      <c r="F16" s="15" t="n">
        <f aca="false">'All Seasons'!K85</f>
        <v>1306</v>
      </c>
      <c r="G16" s="20" t="n">
        <f aca="false">'All Seasons'!L85</f>
        <v>100.461538461538</v>
      </c>
      <c r="H16" s="12" t="n">
        <f aca="false">'All Seasons'!M85</f>
        <v>5</v>
      </c>
      <c r="I16" s="12" t="n">
        <f aca="false">'All Seasons'!N85</f>
        <v>3</v>
      </c>
      <c r="J16" s="12" t="str">
        <f aca="false">IF('All Seasons'!O85=1,"YES","-")</f>
        <v>YES</v>
      </c>
    </row>
    <row r="17" customFormat="false" ht="15" hidden="false" customHeight="false" outlineLevel="0" collapsed="false">
      <c r="B17" s="21" t="s">
        <v>116</v>
      </c>
      <c r="E17" s="22" t="n">
        <f aca="false">AVERAGE(E5:E16)</f>
        <v>0.5</v>
      </c>
      <c r="F17" s="23" t="n">
        <f aca="false">SUM(F5:F16)</f>
        <v>15188</v>
      </c>
      <c r="G17" s="24" t="n">
        <f aca="false">AVERAGE(G5:G16)</f>
        <v>97.3589743589744</v>
      </c>
    </row>
    <row r="19" customFormat="false" ht="15" hidden="false" customHeight="false" outlineLevel="0" collapsed="false">
      <c r="A19" s="25" t="s">
        <v>117</v>
      </c>
    </row>
    <row r="20" customFormat="false" ht="15" hidden="false" customHeight="false" outlineLevel="0" collapsed="false">
      <c r="A20" s="3" t="s">
        <v>18</v>
      </c>
      <c r="C20" s="26" t="n">
        <f aca="false">CORREL($A$5:$A$16,E5:E16)</f>
        <v>-0.204414713557289</v>
      </c>
    </row>
    <row r="21" customFormat="false" ht="15" hidden="false" customHeight="false" outlineLevel="0" collapsed="false">
      <c r="A21" s="3" t="s">
        <v>22</v>
      </c>
      <c r="C21" s="26" t="n">
        <f aca="false">CORREL($A$5:$A$16,G5:G16)</f>
        <v>-0.378142836151972</v>
      </c>
    </row>
    <row r="22" customFormat="false" ht="15" hidden="false" customHeight="false" outlineLevel="0" collapsed="false">
      <c r="A22" s="3" t="s">
        <v>118</v>
      </c>
      <c r="C22" s="26" t="n">
        <f aca="false">CORREL($A$5:$A$16,H5:H16)</f>
        <v>0.370629370629371</v>
      </c>
    </row>
    <row r="23" customFormat="false" ht="15" hidden="false" customHeight="false" outlineLevel="0" collapsed="false">
      <c r="A23" s="3" t="s">
        <v>119</v>
      </c>
      <c r="C23" s="26" t="n">
        <f aca="false">CORREL($A$5:$A$16,I5:I16)</f>
        <v>0.118881118881119</v>
      </c>
    </row>
    <row r="24" customFormat="false" ht="15" hidden="false" customHeight="false" outlineLevel="0" collapsed="false">
      <c r="A24" s="2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7" t="s">
        <v>127</v>
      </c>
    </row>
    <row r="2" customFormat="false" ht="15" hidden="false" customHeight="false" outlineLevel="0" collapsed="false">
      <c r="A2" s="18" t="s">
        <v>114</v>
      </c>
    </row>
    <row r="4" customFormat="false" ht="15" hidden="false" customHeight="false" outlineLevel="0" collapsed="false">
      <c r="A4" s="6" t="s">
        <v>16</v>
      </c>
      <c r="B4" s="6" t="s">
        <v>44</v>
      </c>
      <c r="C4" s="6" t="s">
        <v>45</v>
      </c>
      <c r="D4" s="6" t="s">
        <v>50</v>
      </c>
      <c r="E4" s="6" t="s">
        <v>18</v>
      </c>
      <c r="F4" s="6" t="s">
        <v>20</v>
      </c>
      <c r="G4" s="6" t="s">
        <v>22</v>
      </c>
      <c r="H4" s="6" t="s">
        <v>24</v>
      </c>
      <c r="I4" s="6" t="s">
        <v>26</v>
      </c>
      <c r="J4" s="6" t="s">
        <v>115</v>
      </c>
    </row>
    <row r="5" customFormat="false" ht="15" hidden="false" customHeight="false" outlineLevel="0" collapsed="false">
      <c r="A5" s="12" t="n">
        <f aca="false">'All Seasons'!B86</f>
        <v>1</v>
      </c>
      <c r="B5" s="13" t="str">
        <f aca="false">'All Seasons'!C86</f>
        <v>RedZone480</v>
      </c>
      <c r="C5" s="13" t="str">
        <f aca="false">'All Seasons'!D86</f>
        <v>Robert</v>
      </c>
      <c r="D5" s="12" t="str">
        <f aca="false">'All Seasons'!I86</f>
        <v>7-6-0</v>
      </c>
      <c r="E5" s="19" t="n">
        <f aca="false">'All Seasons'!J86</f>
        <v>0.538461538461538</v>
      </c>
      <c r="F5" s="15" t="n">
        <f aca="false">'All Seasons'!K86</f>
        <v>1570</v>
      </c>
      <c r="G5" s="20" t="n">
        <f aca="false">'All Seasons'!L86</f>
        <v>120.769230769231</v>
      </c>
      <c r="H5" s="12" t="n">
        <f aca="false">'All Seasons'!M86</f>
        <v>2</v>
      </c>
      <c r="I5" s="12" t="n">
        <f aca="false">'All Seasons'!N86</f>
        <v>2</v>
      </c>
      <c r="J5" s="12" t="str">
        <f aca="false">IF('All Seasons'!O86=1,"YES","-")</f>
        <v>YES</v>
      </c>
    </row>
    <row r="6" customFormat="false" ht="15" hidden="false" customHeight="false" outlineLevel="0" collapsed="false">
      <c r="A6" s="12" t="n">
        <f aca="false">'All Seasons'!B87</f>
        <v>2</v>
      </c>
      <c r="B6" s="13" t="str">
        <f aca="false">'All Seasons'!C87</f>
        <v>Scott's Scabs</v>
      </c>
      <c r="C6" s="13" t="str">
        <f aca="false">'All Seasons'!D87</f>
        <v>Scott</v>
      </c>
      <c r="D6" s="12" t="str">
        <f aca="false">'All Seasons'!I87</f>
        <v>3-10-0</v>
      </c>
      <c r="E6" s="19" t="n">
        <f aca="false">'All Seasons'!J87</f>
        <v>0.230769230769231</v>
      </c>
      <c r="F6" s="15" t="n">
        <f aca="false">'All Seasons'!K87</f>
        <v>1294</v>
      </c>
      <c r="G6" s="20" t="n">
        <f aca="false">'All Seasons'!L87</f>
        <v>99.5384615384615</v>
      </c>
      <c r="H6" s="12" t="n">
        <f aca="false">'All Seasons'!M87</f>
        <v>10</v>
      </c>
      <c r="I6" s="12" t="n">
        <f aca="false">'All Seasons'!N87</f>
        <v>8</v>
      </c>
      <c r="J6" s="12" t="str">
        <f aca="false">IF('All Seasons'!O87=1,"YES","-")</f>
        <v>-</v>
      </c>
    </row>
    <row r="7" customFormat="false" ht="15" hidden="false" customHeight="false" outlineLevel="0" collapsed="false">
      <c r="A7" s="12" t="n">
        <f aca="false">'All Seasons'!B88</f>
        <v>3</v>
      </c>
      <c r="B7" s="13" t="str">
        <f aca="false">'All Seasons'!C88</f>
        <v>Going Postal</v>
      </c>
      <c r="C7" s="13" t="str">
        <f aca="false">'All Seasons'!D88</f>
        <v>Steve</v>
      </c>
      <c r="D7" s="12" t="str">
        <f aca="false">'All Seasons'!I88</f>
        <v>9-4-0</v>
      </c>
      <c r="E7" s="19" t="n">
        <f aca="false">'All Seasons'!J88</f>
        <v>0.692307692307692</v>
      </c>
      <c r="F7" s="15" t="n">
        <f aca="false">'All Seasons'!K88</f>
        <v>1565</v>
      </c>
      <c r="G7" s="20" t="n">
        <f aca="false">'All Seasons'!L88</f>
        <v>120.384615384615</v>
      </c>
      <c r="H7" s="12" t="n">
        <f aca="false">'All Seasons'!M88</f>
        <v>3</v>
      </c>
      <c r="I7" s="12" t="n">
        <f aca="false">'All Seasons'!N88</f>
        <v>6</v>
      </c>
      <c r="J7" s="12" t="str">
        <f aca="false">IF('All Seasons'!O88=1,"YES","-")</f>
        <v>YES</v>
      </c>
    </row>
    <row r="8" customFormat="false" ht="15" hidden="false" customHeight="false" outlineLevel="0" collapsed="false">
      <c r="A8" s="12" t="n">
        <f aca="false">'All Seasons'!B89</f>
        <v>4</v>
      </c>
      <c r="B8" s="13" t="str">
        <f aca="false">'All Seasons'!C89</f>
        <v>#YouToo</v>
      </c>
      <c r="C8" s="13" t="str">
        <f aca="false">'All Seasons'!D89</f>
        <v>Keith</v>
      </c>
      <c r="D8" s="12" t="str">
        <f aca="false">'All Seasons'!I89</f>
        <v>8-5-0</v>
      </c>
      <c r="E8" s="19" t="n">
        <f aca="false">'All Seasons'!J89</f>
        <v>0.615384615384615</v>
      </c>
      <c r="F8" s="15" t="n">
        <f aca="false">'All Seasons'!K89</f>
        <v>1651</v>
      </c>
      <c r="G8" s="20" t="n">
        <f aca="false">'All Seasons'!L89</f>
        <v>127</v>
      </c>
      <c r="H8" s="12" t="n">
        <f aca="false">'All Seasons'!M89</f>
        <v>1</v>
      </c>
      <c r="I8" s="12" t="n">
        <f aca="false">'All Seasons'!N89</f>
        <v>5</v>
      </c>
      <c r="J8" s="12" t="str">
        <f aca="false">IF('All Seasons'!O89=1,"YES","-")</f>
        <v>YES</v>
      </c>
    </row>
    <row r="9" customFormat="false" ht="15" hidden="false" customHeight="false" outlineLevel="0" collapsed="false">
      <c r="A9" s="12" t="n">
        <f aca="false">'All Seasons'!B90</f>
        <v>5</v>
      </c>
      <c r="B9" s="13" t="str">
        <f aca="false">'All Seasons'!C90</f>
        <v>RedNecks</v>
      </c>
      <c r="C9" s="13" t="str">
        <f aca="false">'All Seasons'!D90</f>
        <v>Jim</v>
      </c>
      <c r="D9" s="12" t="str">
        <f aca="false">'All Seasons'!I90</f>
        <v>3-10-0</v>
      </c>
      <c r="E9" s="19" t="n">
        <f aca="false">'All Seasons'!J90</f>
        <v>0.230769230769231</v>
      </c>
      <c r="F9" s="15" t="n">
        <f aca="false">'All Seasons'!K90</f>
        <v>1142</v>
      </c>
      <c r="G9" s="20" t="n">
        <f aca="false">'All Seasons'!L90</f>
        <v>87.8461538461538</v>
      </c>
      <c r="H9" s="12" t="n">
        <f aca="false">'All Seasons'!M90</f>
        <v>12</v>
      </c>
      <c r="I9" s="12" t="n">
        <f aca="false">'All Seasons'!N90</f>
        <v>11</v>
      </c>
      <c r="J9" s="12" t="str">
        <f aca="false">IF('All Seasons'!O90=1,"YES","-")</f>
        <v>-</v>
      </c>
    </row>
    <row r="10" customFormat="false" ht="15" hidden="false" customHeight="false" outlineLevel="0" collapsed="false">
      <c r="A10" s="12" t="n">
        <f aca="false">'All Seasons'!B91</f>
        <v>6</v>
      </c>
      <c r="B10" s="13" t="str">
        <f aca="false">'All Seasons'!C91</f>
        <v>Spike's Chupacabras</v>
      </c>
      <c r="C10" s="13" t="str">
        <f aca="false">'All Seasons'!D91</f>
        <v>Spike</v>
      </c>
      <c r="D10" s="12" t="str">
        <f aca="false">'All Seasons'!I91</f>
        <v>5-8-0</v>
      </c>
      <c r="E10" s="19" t="n">
        <f aca="false">'All Seasons'!J91</f>
        <v>0.384615384615385</v>
      </c>
      <c r="F10" s="15" t="n">
        <f aca="false">'All Seasons'!K91</f>
        <v>1331</v>
      </c>
      <c r="G10" s="20" t="n">
        <f aca="false">'All Seasons'!L91</f>
        <v>102.384615384615</v>
      </c>
      <c r="H10" s="12" t="n">
        <f aca="false">'All Seasons'!M91</f>
        <v>9</v>
      </c>
      <c r="I10" s="12" t="n">
        <f aca="false">'All Seasons'!N91</f>
        <v>7</v>
      </c>
      <c r="J10" s="12" t="str">
        <f aca="false">IF('All Seasons'!O91=1,"YES","-")</f>
        <v>-</v>
      </c>
    </row>
    <row r="11" customFormat="false" ht="15" hidden="false" customHeight="false" outlineLevel="0" collapsed="false">
      <c r="A11" s="12" t="n">
        <f aca="false">'All Seasons'!B92</f>
        <v>7</v>
      </c>
      <c r="B11" s="13" t="str">
        <f aca="false">'All Seasons'!C92</f>
        <v>Eagles got a big Cox</v>
      </c>
      <c r="C11" s="13" t="str">
        <f aca="false">'All Seasons'!D92</f>
        <v>Brian C</v>
      </c>
      <c r="D11" s="12" t="str">
        <f aca="false">'All Seasons'!I92</f>
        <v>4-9-0</v>
      </c>
      <c r="E11" s="19" t="n">
        <f aca="false">'All Seasons'!J92</f>
        <v>0.307692307692308</v>
      </c>
      <c r="F11" s="15" t="n">
        <f aca="false">'All Seasons'!K92</f>
        <v>1380</v>
      </c>
      <c r="G11" s="20" t="n">
        <f aca="false">'All Seasons'!L92</f>
        <v>106.153846153846</v>
      </c>
      <c r="H11" s="12" t="n">
        <f aca="false">'All Seasons'!M92</f>
        <v>7</v>
      </c>
      <c r="I11" s="12" t="n">
        <f aca="false">'All Seasons'!N92</f>
        <v>9</v>
      </c>
      <c r="J11" s="12" t="str">
        <f aca="false">IF('All Seasons'!O92=1,"YES","-")</f>
        <v>-</v>
      </c>
    </row>
    <row r="12" customFormat="false" ht="15" hidden="false" customHeight="false" outlineLevel="0" collapsed="false">
      <c r="A12" s="12" t="n">
        <f aca="false">'All Seasons'!B93</f>
        <v>8</v>
      </c>
      <c r="B12" s="13" t="str">
        <f aca="false">'All Seasons'!C93</f>
        <v>Closer</v>
      </c>
      <c r="C12" s="13" t="str">
        <f aca="false">'All Seasons'!D93</f>
        <v>Rick</v>
      </c>
      <c r="D12" s="12" t="str">
        <f aca="false">'All Seasons'!I93</f>
        <v>10-3-0</v>
      </c>
      <c r="E12" s="19" t="n">
        <f aca="false">'All Seasons'!J93</f>
        <v>0.769230769230769</v>
      </c>
      <c r="F12" s="15" t="n">
        <f aca="false">'All Seasons'!K93</f>
        <v>1500</v>
      </c>
      <c r="G12" s="20" t="n">
        <f aca="false">'All Seasons'!L93</f>
        <v>115.384615384615</v>
      </c>
      <c r="H12" s="12" t="n">
        <f aca="false">'All Seasons'!M93</f>
        <v>5</v>
      </c>
      <c r="I12" s="12" t="n">
        <f aca="false">'All Seasons'!N93</f>
        <v>1</v>
      </c>
      <c r="J12" s="12" t="str">
        <f aca="false">IF('All Seasons'!O93=1,"YES","-")</f>
        <v>YES</v>
      </c>
    </row>
    <row r="13" customFormat="false" ht="15" hidden="false" customHeight="false" outlineLevel="0" collapsed="false">
      <c r="A13" s="12" t="n">
        <f aca="false">'All Seasons'!B94</f>
        <v>9</v>
      </c>
      <c r="B13" s="13" t="str">
        <f aca="false">'All Seasons'!C94</f>
        <v>Mean Machine</v>
      </c>
      <c r="C13" s="13" t="str">
        <f aca="false">'All Seasons'!D94</f>
        <v>Cory</v>
      </c>
      <c r="D13" s="12" t="str">
        <f aca="false">'All Seasons'!I94</f>
        <v>9-4-0</v>
      </c>
      <c r="E13" s="19" t="n">
        <f aca="false">'All Seasons'!J94</f>
        <v>0.692307692307692</v>
      </c>
      <c r="F13" s="15" t="n">
        <f aca="false">'All Seasons'!K94</f>
        <v>1389</v>
      </c>
      <c r="G13" s="20" t="n">
        <f aca="false">'All Seasons'!L94</f>
        <v>106.846153846154</v>
      </c>
      <c r="H13" s="12" t="n">
        <f aca="false">'All Seasons'!M94</f>
        <v>6</v>
      </c>
      <c r="I13" s="12" t="n">
        <f aca="false">'All Seasons'!N94</f>
        <v>4</v>
      </c>
      <c r="J13" s="12" t="str">
        <f aca="false">IF('All Seasons'!O94=1,"YES","-")</f>
        <v>YES</v>
      </c>
    </row>
    <row r="14" customFormat="false" ht="15" hidden="false" customHeight="false" outlineLevel="0" collapsed="false">
      <c r="A14" s="12" t="n">
        <f aca="false">'All Seasons'!B95</f>
        <v>10</v>
      </c>
      <c r="B14" s="13" t="str">
        <f aca="false">'All Seasons'!C95</f>
        <v>Donkey Punchers</v>
      </c>
      <c r="C14" s="13" t="str">
        <f aca="false">'All Seasons'!D95</f>
        <v>Barrett</v>
      </c>
      <c r="D14" s="12" t="str">
        <f aca="false">'All Seasons'!I95</f>
        <v>4-9-0</v>
      </c>
      <c r="E14" s="19" t="n">
        <f aca="false">'All Seasons'!J95</f>
        <v>0.307692307692308</v>
      </c>
      <c r="F14" s="15" t="n">
        <f aca="false">'All Seasons'!K95</f>
        <v>1202</v>
      </c>
      <c r="G14" s="20" t="n">
        <f aca="false">'All Seasons'!L95</f>
        <v>92.4615384615385</v>
      </c>
      <c r="H14" s="12" t="n">
        <f aca="false">'All Seasons'!M95</f>
        <v>11</v>
      </c>
      <c r="I14" s="12" t="n">
        <f aca="false">'All Seasons'!N95</f>
        <v>12</v>
      </c>
      <c r="J14" s="12" t="str">
        <f aca="false">IF('All Seasons'!O95=1,"YES","-")</f>
        <v>-</v>
      </c>
    </row>
    <row r="15" customFormat="false" ht="15" hidden="false" customHeight="false" outlineLevel="0" collapsed="false">
      <c r="A15" s="12" t="n">
        <f aca="false">'All Seasons'!B96</f>
        <v>11</v>
      </c>
      <c r="B15" s="13" t="str">
        <f aca="false">'All Seasons'!C96</f>
        <v>AssKickers</v>
      </c>
      <c r="C15" s="13" t="str">
        <f aca="false">'All Seasons'!D96</f>
        <v>Rob M</v>
      </c>
      <c r="D15" s="12" t="str">
        <f aca="false">'All Seasons'!I96</f>
        <v>6-7-0</v>
      </c>
      <c r="E15" s="19" t="n">
        <f aca="false">'All Seasons'!J96</f>
        <v>0.461538461538462</v>
      </c>
      <c r="F15" s="15" t="n">
        <f aca="false">'All Seasons'!K96</f>
        <v>1376</v>
      </c>
      <c r="G15" s="20" t="n">
        <f aca="false">'All Seasons'!L96</f>
        <v>105.846153846154</v>
      </c>
      <c r="H15" s="12" t="n">
        <f aca="false">'All Seasons'!M96</f>
        <v>8</v>
      </c>
      <c r="I15" s="12" t="n">
        <f aca="false">'All Seasons'!N96</f>
        <v>10</v>
      </c>
      <c r="J15" s="12" t="str">
        <f aca="false">IF('All Seasons'!O96=1,"YES","-")</f>
        <v>-</v>
      </c>
    </row>
    <row r="16" customFormat="false" ht="15" hidden="false" customHeight="false" outlineLevel="0" collapsed="false">
      <c r="A16" s="12" t="n">
        <f aca="false">'All Seasons'!B97</f>
        <v>12</v>
      </c>
      <c r="B16" s="13" t="str">
        <f aca="false">'All Seasons'!C97</f>
        <v>Vandalay Industries</v>
      </c>
      <c r="C16" s="13" t="str">
        <f aca="false">'All Seasons'!D97</f>
        <v>John</v>
      </c>
      <c r="D16" s="12" t="str">
        <f aca="false">'All Seasons'!I97</f>
        <v>10-3-0</v>
      </c>
      <c r="E16" s="19" t="n">
        <f aca="false">'All Seasons'!J97</f>
        <v>0.769230769230769</v>
      </c>
      <c r="F16" s="15" t="n">
        <f aca="false">'All Seasons'!K97</f>
        <v>1516</v>
      </c>
      <c r="G16" s="20" t="n">
        <f aca="false">'All Seasons'!L97</f>
        <v>116.615384615385</v>
      </c>
      <c r="H16" s="12" t="n">
        <f aca="false">'All Seasons'!M97</f>
        <v>4</v>
      </c>
      <c r="I16" s="12" t="n">
        <f aca="false">'All Seasons'!N97</f>
        <v>3</v>
      </c>
      <c r="J16" s="12" t="str">
        <f aca="false">IF('All Seasons'!O97=1,"YES","-")</f>
        <v>YES</v>
      </c>
    </row>
    <row r="17" customFormat="false" ht="15" hidden="false" customHeight="false" outlineLevel="0" collapsed="false">
      <c r="B17" s="21" t="s">
        <v>116</v>
      </c>
      <c r="E17" s="22" t="n">
        <f aca="false">AVERAGE(E5:E16)</f>
        <v>0.5</v>
      </c>
      <c r="F17" s="23" t="n">
        <f aca="false">SUM(F5:F16)</f>
        <v>16916</v>
      </c>
      <c r="G17" s="24" t="n">
        <f aca="false">AVERAGE(G5:G16)</f>
        <v>108.435897435897</v>
      </c>
    </row>
    <row r="19" customFormat="false" ht="15" hidden="false" customHeight="false" outlineLevel="0" collapsed="false">
      <c r="A19" s="25" t="s">
        <v>117</v>
      </c>
    </row>
    <row r="20" customFormat="false" ht="15" hidden="false" customHeight="false" outlineLevel="0" collapsed="false">
      <c r="A20" s="3" t="s">
        <v>18</v>
      </c>
      <c r="C20" s="26" t="n">
        <f aca="false">CORREL($A$5:$A$16,E5:E16)</f>
        <v>0.235211441926259</v>
      </c>
    </row>
    <row r="21" customFormat="false" ht="15" hidden="false" customHeight="false" outlineLevel="0" collapsed="false">
      <c r="A21" s="3" t="s">
        <v>22</v>
      </c>
      <c r="C21" s="26" t="n">
        <f aca="false">CORREL($A$5:$A$16,G5:G16)</f>
        <v>-0.21014898239754</v>
      </c>
    </row>
    <row r="22" customFormat="false" ht="15" hidden="false" customHeight="false" outlineLevel="0" collapsed="false">
      <c r="A22" s="3" t="s">
        <v>118</v>
      </c>
      <c r="C22" s="26" t="n">
        <f aca="false">CORREL($A$5:$A$16,H5:H16)</f>
        <v>0.216783216783217</v>
      </c>
    </row>
    <row r="23" customFormat="false" ht="15" hidden="false" customHeight="false" outlineLevel="0" collapsed="false">
      <c r="A23" s="3" t="s">
        <v>119</v>
      </c>
      <c r="C23" s="26" t="n">
        <f aca="false">CORREL($A$5:$A$16,I5:I16)</f>
        <v>0.132867132867133</v>
      </c>
    </row>
    <row r="24" customFormat="false" ht="15" hidden="false" customHeight="false" outlineLevel="0" collapsed="false">
      <c r="A24" s="2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7" t="s">
        <v>128</v>
      </c>
    </row>
    <row r="2" customFormat="false" ht="15" hidden="false" customHeight="false" outlineLevel="0" collapsed="false">
      <c r="A2" s="18" t="s">
        <v>114</v>
      </c>
    </row>
    <row r="4" customFormat="false" ht="15" hidden="false" customHeight="false" outlineLevel="0" collapsed="false">
      <c r="A4" s="6" t="s">
        <v>16</v>
      </c>
      <c r="B4" s="6" t="s">
        <v>44</v>
      </c>
      <c r="C4" s="6" t="s">
        <v>45</v>
      </c>
      <c r="D4" s="6" t="s">
        <v>50</v>
      </c>
      <c r="E4" s="6" t="s">
        <v>18</v>
      </c>
      <c r="F4" s="6" t="s">
        <v>20</v>
      </c>
      <c r="G4" s="6" t="s">
        <v>22</v>
      </c>
      <c r="H4" s="6" t="s">
        <v>24</v>
      </c>
      <c r="I4" s="6" t="s">
        <v>26</v>
      </c>
      <c r="J4" s="6" t="s">
        <v>115</v>
      </c>
    </row>
    <row r="5" customFormat="false" ht="15" hidden="false" customHeight="false" outlineLevel="0" collapsed="false">
      <c r="A5" s="12" t="n">
        <f aca="false">'All Seasons'!B98</f>
        <v>1</v>
      </c>
      <c r="B5" s="13" t="str">
        <f aca="false">'All Seasons'!C98</f>
        <v>Donkey Punchers</v>
      </c>
      <c r="C5" s="13" t="str">
        <f aca="false">'All Seasons'!D98</f>
        <v>Barrett</v>
      </c>
      <c r="D5" s="12" t="str">
        <f aca="false">'All Seasons'!I98</f>
        <v>4-9-0</v>
      </c>
      <c r="E5" s="19" t="n">
        <f aca="false">'All Seasons'!J98</f>
        <v>0.307692307692308</v>
      </c>
      <c r="F5" s="15" t="n">
        <f aca="false">'All Seasons'!K98</f>
        <v>1066.54</v>
      </c>
      <c r="G5" s="20" t="n">
        <f aca="false">'All Seasons'!L98</f>
        <v>82.0415384615385</v>
      </c>
      <c r="H5" s="12" t="n">
        <f aca="false">'All Seasons'!M98</f>
        <v>12</v>
      </c>
      <c r="I5" s="12" t="n">
        <f aca="false">'All Seasons'!N98</f>
        <v>7</v>
      </c>
      <c r="J5" s="12" t="str">
        <f aca="false">IF('All Seasons'!O98=1,"YES","-")</f>
        <v>-</v>
      </c>
    </row>
    <row r="6" customFormat="false" ht="15" hidden="false" customHeight="false" outlineLevel="0" collapsed="false">
      <c r="A6" s="12" t="n">
        <f aca="false">'All Seasons'!B99</f>
        <v>2</v>
      </c>
      <c r="B6" s="13" t="str">
        <f aca="false">'All Seasons'!C99</f>
        <v>RedZone480</v>
      </c>
      <c r="C6" s="13" t="str">
        <f aca="false">'All Seasons'!D99</f>
        <v>Robert</v>
      </c>
      <c r="D6" s="12" t="str">
        <f aca="false">'All Seasons'!I99</f>
        <v>6-7-0</v>
      </c>
      <c r="E6" s="19" t="n">
        <f aca="false">'All Seasons'!J99</f>
        <v>0.461538461538462</v>
      </c>
      <c r="F6" s="15" t="n">
        <f aca="false">'All Seasons'!K99</f>
        <v>1222.48</v>
      </c>
      <c r="G6" s="20" t="n">
        <f aca="false">'All Seasons'!L99</f>
        <v>94.0369230769231</v>
      </c>
      <c r="H6" s="12" t="n">
        <f aca="false">'All Seasons'!M99</f>
        <v>9</v>
      </c>
      <c r="I6" s="12" t="n">
        <f aca="false">'All Seasons'!N99</f>
        <v>11</v>
      </c>
      <c r="J6" s="12" t="str">
        <f aca="false">IF('All Seasons'!O99=1,"YES","-")</f>
        <v>-</v>
      </c>
    </row>
    <row r="7" customFormat="false" ht="15" hidden="false" customHeight="false" outlineLevel="0" collapsed="false">
      <c r="A7" s="12" t="n">
        <f aca="false">'All Seasons'!B100</f>
        <v>3</v>
      </c>
      <c r="B7" s="13" t="str">
        <f aca="false">'All Seasons'!C100</f>
        <v>Vandalay Industries</v>
      </c>
      <c r="C7" s="13" t="str">
        <f aca="false">'All Seasons'!D100</f>
        <v>John</v>
      </c>
      <c r="D7" s="12" t="str">
        <f aca="false">'All Seasons'!I100</f>
        <v>8-5-0</v>
      </c>
      <c r="E7" s="19" t="n">
        <f aca="false">'All Seasons'!J100</f>
        <v>0.615384615384615</v>
      </c>
      <c r="F7" s="15" t="n">
        <f aca="false">'All Seasons'!K100</f>
        <v>1334.64</v>
      </c>
      <c r="G7" s="20" t="n">
        <f aca="false">'All Seasons'!L100</f>
        <v>102.664615384615</v>
      </c>
      <c r="H7" s="12" t="n">
        <f aca="false">'All Seasons'!M100</f>
        <v>4</v>
      </c>
      <c r="I7" s="12" t="n">
        <f aca="false">'All Seasons'!N100</f>
        <v>6</v>
      </c>
      <c r="J7" s="12" t="str">
        <f aca="false">IF('All Seasons'!O100=1,"YES","-")</f>
        <v>YES</v>
      </c>
    </row>
    <row r="8" customFormat="false" ht="15" hidden="false" customHeight="false" outlineLevel="0" collapsed="false">
      <c r="A8" s="12" t="n">
        <f aca="false">'All Seasons'!B101</f>
        <v>4</v>
      </c>
      <c r="B8" s="13" t="str">
        <f aca="false">'All Seasons'!C101</f>
        <v>AssKickers</v>
      </c>
      <c r="C8" s="13" t="str">
        <f aca="false">'All Seasons'!D101</f>
        <v>Rob M</v>
      </c>
      <c r="D8" s="12" t="str">
        <f aca="false">'All Seasons'!I101</f>
        <v>7-6-0</v>
      </c>
      <c r="E8" s="19" t="n">
        <f aca="false">'All Seasons'!J101</f>
        <v>0.538461538461538</v>
      </c>
      <c r="F8" s="15" t="n">
        <f aca="false">'All Seasons'!K101</f>
        <v>1473.5</v>
      </c>
      <c r="G8" s="20" t="n">
        <f aca="false">'All Seasons'!L101</f>
        <v>113.346153846154</v>
      </c>
      <c r="H8" s="12" t="n">
        <f aca="false">'All Seasons'!M101</f>
        <v>1</v>
      </c>
      <c r="I8" s="12" t="n">
        <f aca="false">'All Seasons'!N101</f>
        <v>5</v>
      </c>
      <c r="J8" s="12" t="str">
        <f aca="false">IF('All Seasons'!O101=1,"YES","-")</f>
        <v>YES</v>
      </c>
    </row>
    <row r="9" customFormat="false" ht="15" hidden="false" customHeight="false" outlineLevel="0" collapsed="false">
      <c r="A9" s="12" t="n">
        <f aca="false">'All Seasons'!B102</f>
        <v>5</v>
      </c>
      <c r="B9" s="13" t="str">
        <f aca="false">'All Seasons'!C102</f>
        <v>Fake News</v>
      </c>
      <c r="C9" s="13" t="str">
        <f aca="false">'All Seasons'!D102</f>
        <v>Brian C</v>
      </c>
      <c r="D9" s="12" t="str">
        <f aca="false">'All Seasons'!I102</f>
        <v>7-6-0</v>
      </c>
      <c r="E9" s="19" t="n">
        <f aca="false">'All Seasons'!J102</f>
        <v>0.538461538461538</v>
      </c>
      <c r="F9" s="15" t="n">
        <f aca="false">'All Seasons'!K102</f>
        <v>1213.34</v>
      </c>
      <c r="G9" s="20" t="n">
        <f aca="false">'All Seasons'!L102</f>
        <v>93.3338461538462</v>
      </c>
      <c r="H9" s="12" t="n">
        <f aca="false">'All Seasons'!M102</f>
        <v>10</v>
      </c>
      <c r="I9" s="12" t="n">
        <f aca="false">'All Seasons'!N102</f>
        <v>4</v>
      </c>
      <c r="J9" s="12" t="str">
        <f aca="false">IF('All Seasons'!O102=1,"YES","-")</f>
        <v>YES</v>
      </c>
    </row>
    <row r="10" customFormat="false" ht="15" hidden="false" customHeight="false" outlineLevel="0" collapsed="false">
      <c r="A10" s="12" t="n">
        <f aca="false">'All Seasons'!B103</f>
        <v>6</v>
      </c>
      <c r="B10" s="13" t="str">
        <f aca="false">'All Seasons'!C103</f>
        <v>#YouToo</v>
      </c>
      <c r="C10" s="13" t="str">
        <f aca="false">'All Seasons'!D103</f>
        <v>Keith</v>
      </c>
      <c r="D10" s="12" t="str">
        <f aca="false">'All Seasons'!I103</f>
        <v>6-7-0</v>
      </c>
      <c r="E10" s="19" t="n">
        <f aca="false">'All Seasons'!J103</f>
        <v>0.461538461538462</v>
      </c>
      <c r="F10" s="15" t="n">
        <f aca="false">'All Seasons'!K103</f>
        <v>1260.92</v>
      </c>
      <c r="G10" s="20" t="n">
        <f aca="false">'All Seasons'!L103</f>
        <v>96.9938461538462</v>
      </c>
      <c r="H10" s="12" t="n">
        <f aca="false">'All Seasons'!M103</f>
        <v>6</v>
      </c>
      <c r="I10" s="12" t="n">
        <f aca="false">'All Seasons'!N103</f>
        <v>9</v>
      </c>
      <c r="J10" s="12" t="str">
        <f aca="false">IF('All Seasons'!O103=1,"YES","-")</f>
        <v>-</v>
      </c>
    </row>
    <row r="11" customFormat="false" ht="15" hidden="false" customHeight="false" outlineLevel="0" collapsed="false">
      <c r="A11" s="12" t="n">
        <f aca="false">'All Seasons'!B104</f>
        <v>7</v>
      </c>
      <c r="B11" s="13" t="str">
        <f aca="false">'All Seasons'!C104</f>
        <v>Fournetflix n Chill</v>
      </c>
      <c r="C11" s="13" t="str">
        <f aca="false">'All Seasons'!D104</f>
        <v>Cory</v>
      </c>
      <c r="D11" s="12" t="str">
        <f aca="false">'All Seasons'!I104</f>
        <v>4-9-0</v>
      </c>
      <c r="E11" s="19" t="n">
        <f aca="false">'All Seasons'!J104</f>
        <v>0.307692307692308</v>
      </c>
      <c r="F11" s="15" t="n">
        <f aca="false">'All Seasons'!K104</f>
        <v>1234.78</v>
      </c>
      <c r="G11" s="20" t="n">
        <f aca="false">'All Seasons'!L104</f>
        <v>94.9830769230769</v>
      </c>
      <c r="H11" s="12" t="n">
        <f aca="false">'All Seasons'!M104</f>
        <v>8</v>
      </c>
      <c r="I11" s="12" t="n">
        <f aca="false">'All Seasons'!N104</f>
        <v>8</v>
      </c>
      <c r="J11" s="12" t="str">
        <f aca="false">IF('All Seasons'!O104=1,"YES","-")</f>
        <v>-</v>
      </c>
    </row>
    <row r="12" customFormat="false" ht="15" hidden="false" customHeight="false" outlineLevel="0" collapsed="false">
      <c r="A12" s="12" t="n">
        <f aca="false">'All Seasons'!B105</f>
        <v>8</v>
      </c>
      <c r="B12" s="13" t="str">
        <f aca="false">'All Seasons'!C105</f>
        <v>RedNecks</v>
      </c>
      <c r="C12" s="13" t="str">
        <f aca="false">'All Seasons'!D105</f>
        <v>Jim</v>
      </c>
      <c r="D12" s="12" t="str">
        <f aca="false">'All Seasons'!I105</f>
        <v>9-4-0</v>
      </c>
      <c r="E12" s="19" t="n">
        <f aca="false">'All Seasons'!J105</f>
        <v>0.692307692307692</v>
      </c>
      <c r="F12" s="15" t="n">
        <f aca="false">'All Seasons'!K105</f>
        <v>1457.84</v>
      </c>
      <c r="G12" s="20" t="n">
        <f aca="false">'All Seasons'!L105</f>
        <v>112.141538461538</v>
      </c>
      <c r="H12" s="12" t="n">
        <f aca="false">'All Seasons'!M105</f>
        <v>2</v>
      </c>
      <c r="I12" s="12" t="n">
        <f aca="false">'All Seasons'!N105</f>
        <v>1</v>
      </c>
      <c r="J12" s="12" t="str">
        <f aca="false">IF('All Seasons'!O105=1,"YES","-")</f>
        <v>YES</v>
      </c>
    </row>
    <row r="13" customFormat="false" ht="15" hidden="false" customHeight="false" outlineLevel="0" collapsed="false">
      <c r="A13" s="12" t="n">
        <f aca="false">'All Seasons'!B106</f>
        <v>9</v>
      </c>
      <c r="B13" s="13" t="str">
        <f aca="false">'All Seasons'!C106</f>
        <v>Spike's Chupacabras</v>
      </c>
      <c r="C13" s="13" t="str">
        <f aca="false">'All Seasons'!D106</f>
        <v>Spike</v>
      </c>
      <c r="D13" s="12" t="str">
        <f aca="false">'All Seasons'!I106</f>
        <v>7-6-0</v>
      </c>
      <c r="E13" s="19" t="n">
        <f aca="false">'All Seasons'!J106</f>
        <v>0.538461538461538</v>
      </c>
      <c r="F13" s="15" t="n">
        <f aca="false">'All Seasons'!K106</f>
        <v>1322.48</v>
      </c>
      <c r="G13" s="20" t="n">
        <f aca="false">'All Seasons'!L106</f>
        <v>101.729230769231</v>
      </c>
      <c r="H13" s="12" t="n">
        <f aca="false">'All Seasons'!M106</f>
        <v>5</v>
      </c>
      <c r="I13" s="12" t="n">
        <f aca="false">'All Seasons'!N106</f>
        <v>3</v>
      </c>
      <c r="J13" s="12" t="str">
        <f aca="false">IF('All Seasons'!O106=1,"YES","-")</f>
        <v>YES</v>
      </c>
    </row>
    <row r="14" customFormat="false" ht="15" hidden="false" customHeight="false" outlineLevel="0" collapsed="false">
      <c r="A14" s="12" t="n">
        <f aca="false">'All Seasons'!B107</f>
        <v>10</v>
      </c>
      <c r="B14" s="13" t="str">
        <f aca="false">'All Seasons'!C107</f>
        <v>Going Postal</v>
      </c>
      <c r="C14" s="13" t="str">
        <f aca="false">'All Seasons'!D107</f>
        <v>Steve</v>
      </c>
      <c r="D14" s="12" t="str">
        <f aca="false">'All Seasons'!I107</f>
        <v>9-4-0</v>
      </c>
      <c r="E14" s="19" t="n">
        <f aca="false">'All Seasons'!J107</f>
        <v>0.692307692307692</v>
      </c>
      <c r="F14" s="15" t="n">
        <f aca="false">'All Seasons'!K107</f>
        <v>1414.44</v>
      </c>
      <c r="G14" s="20" t="n">
        <f aca="false">'All Seasons'!L107</f>
        <v>108.803076923077</v>
      </c>
      <c r="H14" s="12" t="n">
        <f aca="false">'All Seasons'!M107</f>
        <v>3</v>
      </c>
      <c r="I14" s="12" t="n">
        <f aca="false">'All Seasons'!N107</f>
        <v>2</v>
      </c>
      <c r="J14" s="12" t="str">
        <f aca="false">IF('All Seasons'!O107=1,"YES","-")</f>
        <v>YES</v>
      </c>
    </row>
    <row r="15" customFormat="false" ht="15" hidden="false" customHeight="false" outlineLevel="0" collapsed="false">
      <c r="A15" s="12" t="n">
        <f aca="false">'All Seasons'!B108</f>
        <v>11</v>
      </c>
      <c r="B15" s="13" t="str">
        <f aca="false">'All Seasons'!C108</f>
        <v>Closer</v>
      </c>
      <c r="C15" s="13" t="str">
        <f aca="false">'All Seasons'!D108</f>
        <v>Rick</v>
      </c>
      <c r="D15" s="12" t="str">
        <f aca="false">'All Seasons'!I108</f>
        <v>5-8-0</v>
      </c>
      <c r="E15" s="19" t="n">
        <f aca="false">'All Seasons'!J108</f>
        <v>0.384615384615385</v>
      </c>
      <c r="F15" s="15" t="n">
        <f aca="false">'All Seasons'!K108</f>
        <v>1152.28</v>
      </c>
      <c r="G15" s="20" t="n">
        <f aca="false">'All Seasons'!L108</f>
        <v>88.6369230769231</v>
      </c>
      <c r="H15" s="12" t="n">
        <f aca="false">'All Seasons'!M108</f>
        <v>11</v>
      </c>
      <c r="I15" s="12" t="n">
        <f aca="false">'All Seasons'!N108</f>
        <v>12</v>
      </c>
      <c r="J15" s="12" t="str">
        <f aca="false">IF('All Seasons'!O108=1,"YES","-")</f>
        <v>-</v>
      </c>
    </row>
    <row r="16" customFormat="false" ht="15" hidden="false" customHeight="false" outlineLevel="0" collapsed="false">
      <c r="A16" s="12" t="n">
        <f aca="false">'All Seasons'!B109</f>
        <v>12</v>
      </c>
      <c r="B16" s="13" t="str">
        <f aca="false">'All Seasons'!C109</f>
        <v>Scott's Scabs</v>
      </c>
      <c r="C16" s="13" t="str">
        <f aca="false">'All Seasons'!D109</f>
        <v>Scott</v>
      </c>
      <c r="D16" s="12" t="str">
        <f aca="false">'All Seasons'!I109</f>
        <v>6-7-0</v>
      </c>
      <c r="E16" s="19" t="n">
        <f aca="false">'All Seasons'!J109</f>
        <v>0.461538461538462</v>
      </c>
      <c r="F16" s="15" t="n">
        <f aca="false">'All Seasons'!K109</f>
        <v>1249.78</v>
      </c>
      <c r="G16" s="20" t="n">
        <f aca="false">'All Seasons'!L109</f>
        <v>96.1369230769231</v>
      </c>
      <c r="H16" s="12" t="n">
        <f aca="false">'All Seasons'!M109</f>
        <v>7</v>
      </c>
      <c r="I16" s="12" t="n">
        <f aca="false">'All Seasons'!N109</f>
        <v>10</v>
      </c>
      <c r="J16" s="12" t="str">
        <f aca="false">IF('All Seasons'!O109=1,"YES","-")</f>
        <v>-</v>
      </c>
    </row>
    <row r="17" customFormat="false" ht="15" hidden="false" customHeight="false" outlineLevel="0" collapsed="false">
      <c r="B17" s="21" t="s">
        <v>116</v>
      </c>
      <c r="E17" s="22" t="n">
        <f aca="false">AVERAGE(E5:E16)</f>
        <v>0.5</v>
      </c>
      <c r="F17" s="23" t="n">
        <f aca="false">SUM(F5:F16)</f>
        <v>15403.02</v>
      </c>
      <c r="G17" s="24" t="n">
        <f aca="false">AVERAGE(G5:G16)</f>
        <v>98.7373076923077</v>
      </c>
    </row>
    <row r="19" customFormat="false" ht="15" hidden="false" customHeight="false" outlineLevel="0" collapsed="false">
      <c r="A19" s="25" t="s">
        <v>117</v>
      </c>
    </row>
    <row r="20" customFormat="false" ht="15" hidden="false" customHeight="false" outlineLevel="0" collapsed="false">
      <c r="A20" s="3" t="s">
        <v>18</v>
      </c>
      <c r="C20" s="26" t="n">
        <f aca="false">CORREL($A$5:$A$16,E5:E16)</f>
        <v>0.180232198529761</v>
      </c>
    </row>
    <row r="21" customFormat="false" ht="15" hidden="false" customHeight="false" outlineLevel="0" collapsed="false">
      <c r="A21" s="3" t="s">
        <v>22</v>
      </c>
      <c r="C21" s="26" t="n">
        <f aca="false">CORREL($A$5:$A$16,G5:G16)</f>
        <v>0.195188685469249</v>
      </c>
    </row>
    <row r="22" customFormat="false" ht="15" hidden="false" customHeight="false" outlineLevel="0" collapsed="false">
      <c r="A22" s="3" t="s">
        <v>118</v>
      </c>
      <c r="C22" s="26" t="n">
        <f aca="false">CORREL($A$5:$A$16,H5:H16)</f>
        <v>-0.160839160839161</v>
      </c>
    </row>
    <row r="23" customFormat="false" ht="15" hidden="false" customHeight="false" outlineLevel="0" collapsed="false">
      <c r="A23" s="3" t="s">
        <v>119</v>
      </c>
      <c r="C23" s="26" t="n">
        <f aca="false">CORREL($A$5:$A$16,I5:I16)</f>
        <v>-0.020979020979021</v>
      </c>
    </row>
    <row r="24" customFormat="false" ht="15" hidden="false" customHeight="false" outlineLevel="0" collapsed="false">
      <c r="A24" s="2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7" t="s">
        <v>129</v>
      </c>
    </row>
    <row r="2" customFormat="false" ht="15" hidden="false" customHeight="false" outlineLevel="0" collapsed="false">
      <c r="A2" s="18" t="s">
        <v>114</v>
      </c>
    </row>
    <row r="4" customFormat="false" ht="15" hidden="false" customHeight="false" outlineLevel="0" collapsed="false">
      <c r="A4" s="6" t="s">
        <v>16</v>
      </c>
      <c r="B4" s="6" t="s">
        <v>44</v>
      </c>
      <c r="C4" s="6" t="s">
        <v>45</v>
      </c>
      <c r="D4" s="6" t="s">
        <v>50</v>
      </c>
      <c r="E4" s="6" t="s">
        <v>18</v>
      </c>
      <c r="F4" s="6" t="s">
        <v>20</v>
      </c>
      <c r="G4" s="6" t="s">
        <v>22</v>
      </c>
      <c r="H4" s="6" t="s">
        <v>24</v>
      </c>
      <c r="I4" s="6" t="s">
        <v>26</v>
      </c>
      <c r="J4" s="6" t="s">
        <v>115</v>
      </c>
    </row>
    <row r="5" customFormat="false" ht="15" hidden="false" customHeight="false" outlineLevel="0" collapsed="false">
      <c r="A5" s="12" t="n">
        <f aca="false">'All Seasons'!B110</f>
        <v>1</v>
      </c>
      <c r="B5" s="13" t="str">
        <f aca="false">'All Seasons'!C110</f>
        <v>Donkey Punchers</v>
      </c>
      <c r="C5" s="13" t="str">
        <f aca="false">'All Seasons'!D110</f>
        <v>Barrett</v>
      </c>
      <c r="D5" s="12" t="str">
        <f aca="false">'All Seasons'!I110</f>
        <v>5-8-0</v>
      </c>
      <c r="E5" s="19" t="n">
        <f aca="false">'All Seasons'!J110</f>
        <v>0.384615384615385</v>
      </c>
      <c r="F5" s="15" t="n">
        <f aca="false">'All Seasons'!K110</f>
        <v>1322.86</v>
      </c>
      <c r="G5" s="20" t="n">
        <f aca="false">'All Seasons'!L110</f>
        <v>101.758461538462</v>
      </c>
      <c r="H5" s="12" t="n">
        <f aca="false">'All Seasons'!M110</f>
        <v>10</v>
      </c>
      <c r="I5" s="12" t="n">
        <f aca="false">'All Seasons'!N110</f>
        <v>12</v>
      </c>
      <c r="J5" s="12" t="str">
        <f aca="false">IF('All Seasons'!O110=1,"YES","-")</f>
        <v>-</v>
      </c>
    </row>
    <row r="6" customFormat="false" ht="15" hidden="false" customHeight="false" outlineLevel="0" collapsed="false">
      <c r="A6" s="12" t="n">
        <f aca="false">'All Seasons'!B111</f>
        <v>2</v>
      </c>
      <c r="B6" s="13" t="str">
        <f aca="false">'All Seasons'!C111</f>
        <v>Vandalay Industries</v>
      </c>
      <c r="C6" s="13" t="str">
        <f aca="false">'All Seasons'!D111</f>
        <v>John</v>
      </c>
      <c r="D6" s="12" t="str">
        <f aca="false">'All Seasons'!I111</f>
        <v>4-9-0</v>
      </c>
      <c r="E6" s="19" t="n">
        <f aca="false">'All Seasons'!J111</f>
        <v>0.307692307692308</v>
      </c>
      <c r="F6" s="15" t="n">
        <f aca="false">'All Seasons'!K111</f>
        <v>1195.64</v>
      </c>
      <c r="G6" s="20" t="n">
        <f aca="false">'All Seasons'!L111</f>
        <v>91.9723076923077</v>
      </c>
      <c r="H6" s="12" t="n">
        <f aca="false">'All Seasons'!M111</f>
        <v>12</v>
      </c>
      <c r="I6" s="12" t="n">
        <f aca="false">'All Seasons'!N111</f>
        <v>9</v>
      </c>
      <c r="J6" s="12" t="str">
        <f aca="false">IF('All Seasons'!O111=1,"YES","-")</f>
        <v>-</v>
      </c>
    </row>
    <row r="7" customFormat="false" ht="15" hidden="false" customHeight="false" outlineLevel="0" collapsed="false">
      <c r="A7" s="12" t="n">
        <f aca="false">'All Seasons'!B112</f>
        <v>3</v>
      </c>
      <c r="B7" s="13" t="str">
        <f aca="false">'All Seasons'!C112</f>
        <v>Yuge Loser(s)</v>
      </c>
      <c r="C7" s="13" t="str">
        <f aca="false">'All Seasons'!D112</f>
        <v>Brian C</v>
      </c>
      <c r="D7" s="12" t="str">
        <f aca="false">'All Seasons'!I112</f>
        <v>7-6-0</v>
      </c>
      <c r="E7" s="19" t="n">
        <f aca="false">'All Seasons'!J112</f>
        <v>0.538461538461538</v>
      </c>
      <c r="F7" s="15" t="n">
        <f aca="false">'All Seasons'!K112</f>
        <v>1420.02</v>
      </c>
      <c r="G7" s="20" t="n">
        <f aca="false">'All Seasons'!L112</f>
        <v>109.232307692308</v>
      </c>
      <c r="H7" s="12" t="n">
        <f aca="false">'All Seasons'!M112</f>
        <v>7</v>
      </c>
      <c r="I7" s="12" t="n">
        <f aca="false">'All Seasons'!N112</f>
        <v>6</v>
      </c>
      <c r="J7" s="12" t="str">
        <f aca="false">IF('All Seasons'!O112=1,"YES","-")</f>
        <v>YES</v>
      </c>
    </row>
    <row r="8" customFormat="false" ht="15" hidden="false" customHeight="false" outlineLevel="0" collapsed="false">
      <c r="A8" s="12" t="n">
        <f aca="false">'All Seasons'!B113</f>
        <v>4</v>
      </c>
      <c r="B8" s="13" t="str">
        <f aca="false">'All Seasons'!C113</f>
        <v>RedNecks</v>
      </c>
      <c r="C8" s="13" t="str">
        <f aca="false">'All Seasons'!D113</f>
        <v>Jim</v>
      </c>
      <c r="D8" s="12" t="str">
        <f aca="false">'All Seasons'!I113</f>
        <v>4-9-0</v>
      </c>
      <c r="E8" s="19" t="n">
        <f aca="false">'All Seasons'!J113</f>
        <v>0.307692307692308</v>
      </c>
      <c r="F8" s="15" t="n">
        <f aca="false">'All Seasons'!K113</f>
        <v>1440.48</v>
      </c>
      <c r="G8" s="20" t="n">
        <f aca="false">'All Seasons'!L113</f>
        <v>110.806153846154</v>
      </c>
      <c r="H8" s="12" t="n">
        <f aca="false">'All Seasons'!M113</f>
        <v>6</v>
      </c>
      <c r="I8" s="12" t="n">
        <f aca="false">'All Seasons'!N113</f>
        <v>8</v>
      </c>
      <c r="J8" s="12" t="str">
        <f aca="false">IF('All Seasons'!O113=1,"YES","-")</f>
        <v>-</v>
      </c>
    </row>
    <row r="9" customFormat="false" ht="15" hidden="false" customHeight="false" outlineLevel="0" collapsed="false">
      <c r="A9" s="12" t="n">
        <f aca="false">'All Seasons'!B114</f>
        <v>5</v>
      </c>
      <c r="B9" s="13" t="str">
        <f aca="false">'All Seasons'!C114</f>
        <v>Dark Shadows</v>
      </c>
      <c r="C9" s="13" t="str">
        <f aca="false">'All Seasons'!D114</f>
        <v>Cory</v>
      </c>
      <c r="D9" s="12" t="str">
        <f aca="false">'All Seasons'!I114</f>
        <v>8-5-0</v>
      </c>
      <c r="E9" s="19" t="n">
        <f aca="false">'All Seasons'!J114</f>
        <v>0.615384615384615</v>
      </c>
      <c r="F9" s="15" t="n">
        <f aca="false">'All Seasons'!K114</f>
        <v>1522.88</v>
      </c>
      <c r="G9" s="20" t="n">
        <f aca="false">'All Seasons'!L114</f>
        <v>117.144615384615</v>
      </c>
      <c r="H9" s="12" t="n">
        <f aca="false">'All Seasons'!M114</f>
        <v>2</v>
      </c>
      <c r="I9" s="12" t="n">
        <f aca="false">'All Seasons'!N114</f>
        <v>3</v>
      </c>
      <c r="J9" s="12" t="str">
        <f aca="false">IF('All Seasons'!O114=1,"YES","-")</f>
        <v>YES</v>
      </c>
    </row>
    <row r="10" customFormat="false" ht="15" hidden="false" customHeight="false" outlineLevel="0" collapsed="false">
      <c r="A10" s="12" t="n">
        <f aca="false">'All Seasons'!B115</f>
        <v>6</v>
      </c>
      <c r="B10" s="13" t="str">
        <f aca="false">'All Seasons'!C115</f>
        <v>#YouToo</v>
      </c>
      <c r="C10" s="13" t="str">
        <f aca="false">'All Seasons'!D115</f>
        <v>Keith</v>
      </c>
      <c r="D10" s="12" t="str">
        <f aca="false">'All Seasons'!I115</f>
        <v>7-6-0</v>
      </c>
      <c r="E10" s="19" t="n">
        <f aca="false">'All Seasons'!J115</f>
        <v>0.538461538461538</v>
      </c>
      <c r="F10" s="15" t="n">
        <f aca="false">'All Seasons'!K115</f>
        <v>1558.02</v>
      </c>
      <c r="G10" s="20" t="n">
        <f aca="false">'All Seasons'!L115</f>
        <v>119.847692307692</v>
      </c>
      <c r="H10" s="12" t="n">
        <f aca="false">'All Seasons'!M115</f>
        <v>1</v>
      </c>
      <c r="I10" s="12" t="n">
        <f aca="false">'All Seasons'!N115</f>
        <v>1</v>
      </c>
      <c r="J10" s="12" t="str">
        <f aca="false">IF('All Seasons'!O115=1,"YES","-")</f>
        <v>YES</v>
      </c>
    </row>
    <row r="11" customFormat="false" ht="15" hidden="false" customHeight="false" outlineLevel="0" collapsed="false">
      <c r="A11" s="12" t="n">
        <f aca="false">'All Seasons'!B116</f>
        <v>7</v>
      </c>
      <c r="B11" s="13" t="str">
        <f aca="false">'All Seasons'!C116</f>
        <v>AssKickers</v>
      </c>
      <c r="C11" s="13" t="str">
        <f aca="false">'All Seasons'!D116</f>
        <v>Rob M</v>
      </c>
      <c r="D11" s="12" t="str">
        <f aca="false">'All Seasons'!I116</f>
        <v>6-7-0</v>
      </c>
      <c r="E11" s="19" t="n">
        <f aca="false">'All Seasons'!J116</f>
        <v>0.461538461538462</v>
      </c>
      <c r="F11" s="15" t="n">
        <f aca="false">'All Seasons'!K116</f>
        <v>1501</v>
      </c>
      <c r="G11" s="20" t="n">
        <f aca="false">'All Seasons'!L116</f>
        <v>115.461538461538</v>
      </c>
      <c r="H11" s="12" t="n">
        <f aca="false">'All Seasons'!M116</f>
        <v>3</v>
      </c>
      <c r="I11" s="12" t="n">
        <f aca="false">'All Seasons'!N116</f>
        <v>7</v>
      </c>
      <c r="J11" s="12" t="str">
        <f aca="false">IF('All Seasons'!O116=1,"YES","-")</f>
        <v>-</v>
      </c>
    </row>
    <row r="12" customFormat="false" ht="15" hidden="false" customHeight="false" outlineLevel="0" collapsed="false">
      <c r="A12" s="12" t="n">
        <f aca="false">'All Seasons'!B117</f>
        <v>8</v>
      </c>
      <c r="B12" s="13" t="str">
        <f aca="false">'All Seasons'!C117</f>
        <v>Going Postal</v>
      </c>
      <c r="C12" s="13" t="str">
        <f aca="false">'All Seasons'!D117</f>
        <v>Steve</v>
      </c>
      <c r="D12" s="12" t="str">
        <f aca="false">'All Seasons'!I117</f>
        <v>5-8-0</v>
      </c>
      <c r="E12" s="19" t="n">
        <f aca="false">'All Seasons'!J117</f>
        <v>0.384615384615385</v>
      </c>
      <c r="F12" s="15" t="n">
        <f aca="false">'All Seasons'!K117</f>
        <v>1245.38</v>
      </c>
      <c r="G12" s="20" t="n">
        <f aca="false">'All Seasons'!L117</f>
        <v>95.7984615384616</v>
      </c>
      <c r="H12" s="12" t="n">
        <f aca="false">'All Seasons'!M117</f>
        <v>11</v>
      </c>
      <c r="I12" s="12" t="n">
        <f aca="false">'All Seasons'!N117</f>
        <v>11</v>
      </c>
      <c r="J12" s="12" t="str">
        <f aca="false">IF('All Seasons'!O117=1,"YES","-")</f>
        <v>-</v>
      </c>
    </row>
    <row r="13" customFormat="false" ht="15" hidden="false" customHeight="false" outlineLevel="0" collapsed="false">
      <c r="A13" s="12" t="n">
        <f aca="false">'All Seasons'!B118</f>
        <v>9</v>
      </c>
      <c r="B13" s="13" t="str">
        <f aca="false">'All Seasons'!C118</f>
        <v>Closer</v>
      </c>
      <c r="C13" s="13" t="str">
        <f aca="false">'All Seasons'!D118</f>
        <v>Rick</v>
      </c>
      <c r="D13" s="12" t="str">
        <f aca="false">'All Seasons'!I118</f>
        <v>7-6-0</v>
      </c>
      <c r="E13" s="19" t="n">
        <f aca="false">'All Seasons'!J118</f>
        <v>0.538461538461538</v>
      </c>
      <c r="F13" s="15" t="n">
        <f aca="false">'All Seasons'!K118</f>
        <v>1415.36</v>
      </c>
      <c r="G13" s="20" t="n">
        <f aca="false">'All Seasons'!L118</f>
        <v>108.873846153846</v>
      </c>
      <c r="H13" s="12" t="n">
        <f aca="false">'All Seasons'!M118</f>
        <v>9</v>
      </c>
      <c r="I13" s="12" t="n">
        <f aca="false">'All Seasons'!N118</f>
        <v>2</v>
      </c>
      <c r="J13" s="12" t="str">
        <f aca="false">IF('All Seasons'!O118=1,"YES","-")</f>
        <v>YES</v>
      </c>
    </row>
    <row r="14" customFormat="false" ht="15" hidden="false" customHeight="false" outlineLevel="0" collapsed="false">
      <c r="A14" s="12" t="n">
        <f aca="false">'All Seasons'!B119</f>
        <v>10</v>
      </c>
      <c r="B14" s="13" t="str">
        <f aca="false">'All Seasons'!C119</f>
        <v>RedZone480</v>
      </c>
      <c r="C14" s="13" t="str">
        <f aca="false">'All Seasons'!D119</f>
        <v>Robert</v>
      </c>
      <c r="D14" s="12" t="str">
        <f aca="false">'All Seasons'!I119</f>
        <v>6-7-0</v>
      </c>
      <c r="E14" s="19" t="n">
        <f aca="false">'All Seasons'!J119</f>
        <v>0.461538461538462</v>
      </c>
      <c r="F14" s="15" t="n">
        <f aca="false">'All Seasons'!K119</f>
        <v>1418.68</v>
      </c>
      <c r="G14" s="20" t="n">
        <f aca="false">'All Seasons'!L119</f>
        <v>109.129230769231</v>
      </c>
      <c r="H14" s="12" t="n">
        <f aca="false">'All Seasons'!M119</f>
        <v>8</v>
      </c>
      <c r="I14" s="12" t="n">
        <f aca="false">'All Seasons'!N119</f>
        <v>10</v>
      </c>
      <c r="J14" s="12" t="str">
        <f aca="false">IF('All Seasons'!O119=1,"YES","-")</f>
        <v>-</v>
      </c>
    </row>
    <row r="15" customFormat="false" ht="15" hidden="false" customHeight="false" outlineLevel="0" collapsed="false">
      <c r="A15" s="12" t="n">
        <f aca="false">'All Seasons'!B120</f>
        <v>11</v>
      </c>
      <c r="B15" s="13" t="str">
        <f aca="false">'All Seasons'!C120</f>
        <v>Scott's Scabs</v>
      </c>
      <c r="C15" s="13" t="str">
        <f aca="false">'All Seasons'!D120</f>
        <v>Scott</v>
      </c>
      <c r="D15" s="12" t="str">
        <f aca="false">'All Seasons'!I120</f>
        <v>8-5-0</v>
      </c>
      <c r="E15" s="19" t="n">
        <f aca="false">'All Seasons'!J120</f>
        <v>0.615384615384615</v>
      </c>
      <c r="F15" s="15" t="n">
        <f aca="false">'All Seasons'!K120</f>
        <v>1482.78</v>
      </c>
      <c r="G15" s="20" t="n">
        <f aca="false">'All Seasons'!L120</f>
        <v>114.06</v>
      </c>
      <c r="H15" s="12" t="n">
        <f aca="false">'All Seasons'!M120</f>
        <v>4</v>
      </c>
      <c r="I15" s="12" t="n">
        <f aca="false">'All Seasons'!N120</f>
        <v>5</v>
      </c>
      <c r="J15" s="12" t="str">
        <f aca="false">IF('All Seasons'!O120=1,"YES","-")</f>
        <v>YES</v>
      </c>
    </row>
    <row r="16" customFormat="false" ht="15" hidden="false" customHeight="false" outlineLevel="0" collapsed="false">
      <c r="A16" s="12" t="n">
        <f aca="false">'All Seasons'!B121</f>
        <v>12</v>
      </c>
      <c r="B16" s="13" t="str">
        <f aca="false">'All Seasons'!C121</f>
        <v>Spike's Chupacabras</v>
      </c>
      <c r="C16" s="13" t="str">
        <f aca="false">'All Seasons'!D121</f>
        <v>Spike</v>
      </c>
      <c r="D16" s="12" t="str">
        <f aca="false">'All Seasons'!I121</f>
        <v>11-2-0</v>
      </c>
      <c r="E16" s="19" t="n">
        <f aca="false">'All Seasons'!J121</f>
        <v>0.846153846153846</v>
      </c>
      <c r="F16" s="15" t="n">
        <f aca="false">'All Seasons'!K121</f>
        <v>1450.4</v>
      </c>
      <c r="G16" s="20" t="n">
        <f aca="false">'All Seasons'!L121</f>
        <v>111.569230769231</v>
      </c>
      <c r="H16" s="12" t="n">
        <f aca="false">'All Seasons'!M121</f>
        <v>5</v>
      </c>
      <c r="I16" s="12" t="n">
        <f aca="false">'All Seasons'!N121</f>
        <v>4</v>
      </c>
      <c r="J16" s="12" t="str">
        <f aca="false">IF('All Seasons'!O121=1,"YES","-")</f>
        <v>YES</v>
      </c>
    </row>
    <row r="17" customFormat="false" ht="15" hidden="false" customHeight="false" outlineLevel="0" collapsed="false">
      <c r="B17" s="21" t="s">
        <v>116</v>
      </c>
      <c r="E17" s="22" t="n">
        <f aca="false">AVERAGE(E5:E16)</f>
        <v>0.5</v>
      </c>
      <c r="F17" s="23" t="n">
        <f aca="false">SUM(F5:F16)</f>
        <v>16973.5</v>
      </c>
      <c r="G17" s="24" t="n">
        <f aca="false">AVERAGE(G5:G16)</f>
        <v>108.804487179487</v>
      </c>
    </row>
    <row r="19" customFormat="false" ht="15" hidden="false" customHeight="false" outlineLevel="0" collapsed="false">
      <c r="A19" s="25" t="s">
        <v>117</v>
      </c>
    </row>
    <row r="20" customFormat="false" ht="15" hidden="false" customHeight="false" outlineLevel="0" collapsed="false">
      <c r="A20" s="3" t="s">
        <v>18</v>
      </c>
      <c r="C20" s="26" t="n">
        <f aca="false">CORREL($A$5:$A$16,E5:E16)</f>
        <v>0.637628554890725</v>
      </c>
    </row>
    <row r="21" customFormat="false" ht="15" hidden="false" customHeight="false" outlineLevel="0" collapsed="false">
      <c r="A21" s="3" t="s">
        <v>22</v>
      </c>
      <c r="C21" s="26" t="n">
        <f aca="false">CORREL($A$5:$A$16,G5:G16)</f>
        <v>0.34173669813234</v>
      </c>
    </row>
    <row r="22" customFormat="false" ht="15" hidden="false" customHeight="false" outlineLevel="0" collapsed="false">
      <c r="A22" s="3" t="s">
        <v>118</v>
      </c>
      <c r="C22" s="26" t="n">
        <f aca="false">CORREL($A$5:$A$16,H5:H16)</f>
        <v>-0.265734265734266</v>
      </c>
    </row>
    <row r="23" customFormat="false" ht="15" hidden="false" customHeight="false" outlineLevel="0" collapsed="false">
      <c r="A23" s="3" t="s">
        <v>119</v>
      </c>
      <c r="C23" s="26" t="n">
        <f aca="false">CORREL($A$5:$A$16,I5:I16)</f>
        <v>-0.335664335664336</v>
      </c>
    </row>
    <row r="24" customFormat="false" ht="15" hidden="false" customHeight="false" outlineLevel="0" collapsed="false">
      <c r="A24" s="2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7" t="s">
        <v>130</v>
      </c>
    </row>
    <row r="2" customFormat="false" ht="15" hidden="false" customHeight="false" outlineLevel="0" collapsed="false">
      <c r="A2" s="18" t="s">
        <v>131</v>
      </c>
    </row>
    <row r="4" customFormat="false" ht="15" hidden="false" customHeight="false" outlineLevel="0" collapsed="false">
      <c r="A4" s="6" t="s">
        <v>16</v>
      </c>
      <c r="B4" s="6" t="s">
        <v>44</v>
      </c>
      <c r="C4" s="6" t="s">
        <v>45</v>
      </c>
      <c r="D4" s="6" t="s">
        <v>50</v>
      </c>
      <c r="E4" s="6" t="s">
        <v>18</v>
      </c>
      <c r="F4" s="6" t="s">
        <v>20</v>
      </c>
      <c r="G4" s="6" t="s">
        <v>22</v>
      </c>
      <c r="H4" s="6" t="s">
        <v>24</v>
      </c>
      <c r="I4" s="6" t="s">
        <v>26</v>
      </c>
      <c r="J4" s="6" t="s">
        <v>115</v>
      </c>
    </row>
    <row r="5" customFormat="false" ht="15" hidden="false" customHeight="false" outlineLevel="0" collapsed="false">
      <c r="A5" s="12" t="n">
        <f aca="false">'All Seasons'!B122</f>
        <v>1</v>
      </c>
      <c r="B5" s="13" t="str">
        <f aca="false">'All Seasons'!C122</f>
        <v>Scott's Scabs</v>
      </c>
      <c r="C5" s="13" t="str">
        <f aca="false">'All Seasons'!D122</f>
        <v>Scott</v>
      </c>
      <c r="D5" s="12" t="str">
        <f aca="false">'All Seasons'!I122</f>
        <v>7-7-0</v>
      </c>
      <c r="E5" s="19" t="n">
        <f aca="false">'All Seasons'!J122</f>
        <v>0.5</v>
      </c>
      <c r="F5" s="15" t="n">
        <f aca="false">'All Seasons'!K122</f>
        <v>1389.68</v>
      </c>
      <c r="G5" s="20" t="n">
        <f aca="false">'All Seasons'!L122</f>
        <v>99.2628571428571</v>
      </c>
      <c r="H5" s="12" t="n">
        <f aca="false">'All Seasons'!M122</f>
        <v>12</v>
      </c>
      <c r="I5" s="12" t="n">
        <f aca="false">'All Seasons'!N122</f>
        <v>9</v>
      </c>
      <c r="J5" s="12" t="str">
        <f aca="false">IF('All Seasons'!O122=1,"YES","-")</f>
        <v>-</v>
      </c>
    </row>
    <row r="6" customFormat="false" ht="15" hidden="false" customHeight="false" outlineLevel="0" collapsed="false">
      <c r="A6" s="12" t="n">
        <f aca="false">'All Seasons'!B123</f>
        <v>2</v>
      </c>
      <c r="B6" s="13" t="str">
        <f aca="false">'All Seasons'!C123</f>
        <v>AssKickers</v>
      </c>
      <c r="C6" s="13" t="str">
        <f aca="false">'All Seasons'!D123</f>
        <v>Rob M</v>
      </c>
      <c r="D6" s="12" t="str">
        <f aca="false">'All Seasons'!I123</f>
        <v>7-7-0</v>
      </c>
      <c r="E6" s="19" t="n">
        <f aca="false">'All Seasons'!J123</f>
        <v>0.5</v>
      </c>
      <c r="F6" s="15" t="n">
        <f aca="false">'All Seasons'!K123</f>
        <v>1522.46</v>
      </c>
      <c r="G6" s="20" t="n">
        <f aca="false">'All Seasons'!L123</f>
        <v>108.747142857143</v>
      </c>
      <c r="H6" s="12" t="n">
        <f aca="false">'All Seasons'!M123</f>
        <v>6</v>
      </c>
      <c r="I6" s="12" t="n">
        <f aca="false">'All Seasons'!N123</f>
        <v>8</v>
      </c>
      <c r="J6" s="12" t="str">
        <f aca="false">IF('All Seasons'!O123=1,"YES","-")</f>
        <v>-</v>
      </c>
    </row>
    <row r="7" customFormat="false" ht="15" hidden="false" customHeight="false" outlineLevel="0" collapsed="false">
      <c r="A7" s="12" t="n">
        <f aca="false">'All Seasons'!B124</f>
        <v>3</v>
      </c>
      <c r="B7" s="13" t="str">
        <f aca="false">'All Seasons'!C124</f>
        <v>RedZone480</v>
      </c>
      <c r="C7" s="13" t="str">
        <f aca="false">'All Seasons'!D124</f>
        <v>Robert</v>
      </c>
      <c r="D7" s="12" t="str">
        <f aca="false">'All Seasons'!I124</f>
        <v>8-6-0</v>
      </c>
      <c r="E7" s="19" t="n">
        <f aca="false">'All Seasons'!J124</f>
        <v>0.571428571428571</v>
      </c>
      <c r="F7" s="15" t="n">
        <f aca="false">'All Seasons'!K124</f>
        <v>1704.46</v>
      </c>
      <c r="G7" s="20" t="n">
        <f aca="false">'All Seasons'!L124</f>
        <v>121.747142857143</v>
      </c>
      <c r="H7" s="12" t="n">
        <f aca="false">'All Seasons'!M124</f>
        <v>3</v>
      </c>
      <c r="I7" s="12" t="n">
        <f aca="false">'All Seasons'!N124</f>
        <v>4</v>
      </c>
      <c r="J7" s="12" t="str">
        <f aca="false">IF('All Seasons'!O124=1,"YES","-")</f>
        <v>YES</v>
      </c>
    </row>
    <row r="8" customFormat="false" ht="15" hidden="false" customHeight="false" outlineLevel="0" collapsed="false">
      <c r="A8" s="12" t="n">
        <f aca="false">'All Seasons'!B125</f>
        <v>4</v>
      </c>
      <c r="B8" s="13" t="str">
        <f aca="false">'All Seasons'!C125</f>
        <v>RedNecks</v>
      </c>
      <c r="C8" s="13" t="str">
        <f aca="false">'All Seasons'!D125</f>
        <v>Jim</v>
      </c>
      <c r="D8" s="12" t="str">
        <f aca="false">'All Seasons'!I125</f>
        <v>8-6-0</v>
      </c>
      <c r="E8" s="19" t="n">
        <f aca="false">'All Seasons'!J125</f>
        <v>0.571428571428571</v>
      </c>
      <c r="F8" s="15" t="n">
        <f aca="false">'All Seasons'!K125</f>
        <v>1741.16</v>
      </c>
      <c r="G8" s="20" t="n">
        <f aca="false">'All Seasons'!L125</f>
        <v>124.368571428571</v>
      </c>
      <c r="H8" s="12" t="n">
        <f aca="false">'All Seasons'!M125</f>
        <v>1</v>
      </c>
      <c r="I8" s="12" t="n">
        <f aca="false">'All Seasons'!N125</f>
        <v>6</v>
      </c>
      <c r="J8" s="12" t="str">
        <f aca="false">IF('All Seasons'!O125=1,"YES","-")</f>
        <v>YES</v>
      </c>
    </row>
    <row r="9" customFormat="false" ht="15" hidden="false" customHeight="false" outlineLevel="0" collapsed="false">
      <c r="A9" s="12" t="n">
        <f aca="false">'All Seasons'!B126</f>
        <v>5</v>
      </c>
      <c r="B9" s="13" t="str">
        <f aca="false">'All Seasons'!C126</f>
        <v>nfl AROD mvp</v>
      </c>
      <c r="C9" s="13" t="str">
        <f aca="false">'All Seasons'!D126</f>
        <v>Nick</v>
      </c>
      <c r="D9" s="12" t="str">
        <f aca="false">'All Seasons'!I126</f>
        <v>10-4-0</v>
      </c>
      <c r="E9" s="19" t="n">
        <f aca="false">'All Seasons'!J126</f>
        <v>0.714285714285714</v>
      </c>
      <c r="F9" s="15" t="n">
        <f aca="false">'All Seasons'!K126</f>
        <v>1738.96</v>
      </c>
      <c r="G9" s="20" t="n">
        <f aca="false">'All Seasons'!L126</f>
        <v>124.211428571429</v>
      </c>
      <c r="H9" s="12" t="n">
        <f aca="false">'All Seasons'!M126</f>
        <v>2</v>
      </c>
      <c r="I9" s="12" t="n">
        <f aca="false">'All Seasons'!N126</f>
        <v>5</v>
      </c>
      <c r="J9" s="12" t="str">
        <f aca="false">IF('All Seasons'!O126=1,"YES","-")</f>
        <v>YES</v>
      </c>
    </row>
    <row r="10" customFormat="false" ht="15" hidden="false" customHeight="false" outlineLevel="0" collapsed="false">
      <c r="A10" s="12" t="n">
        <f aca="false">'All Seasons'!B127</f>
        <v>6</v>
      </c>
      <c r="B10" s="13" t="str">
        <f aca="false">'All Seasons'!C127</f>
        <v>Going Postal</v>
      </c>
      <c r="C10" s="13" t="str">
        <f aca="false">'All Seasons'!D127</f>
        <v>Steve</v>
      </c>
      <c r="D10" s="12" t="str">
        <f aca="false">'All Seasons'!I127</f>
        <v>3-11-0</v>
      </c>
      <c r="E10" s="19" t="n">
        <f aca="false">'All Seasons'!J127</f>
        <v>0.214285714285714</v>
      </c>
      <c r="F10" s="15" t="n">
        <f aca="false">'All Seasons'!K127</f>
        <v>1455.94</v>
      </c>
      <c r="G10" s="20" t="n">
        <f aca="false">'All Seasons'!L127</f>
        <v>103.995714285714</v>
      </c>
      <c r="H10" s="12" t="n">
        <f aca="false">'All Seasons'!M127</f>
        <v>8</v>
      </c>
      <c r="I10" s="12" t="n">
        <f aca="false">'All Seasons'!N127</f>
        <v>10</v>
      </c>
      <c r="J10" s="12" t="str">
        <f aca="false">IF('All Seasons'!O127=1,"YES","-")</f>
        <v>-</v>
      </c>
    </row>
    <row r="11" customFormat="false" ht="15" hidden="false" customHeight="false" outlineLevel="0" collapsed="false">
      <c r="A11" s="12" t="n">
        <f aca="false">'All Seasons'!B128</f>
        <v>7</v>
      </c>
      <c r="B11" s="13" t="str">
        <f aca="false">'All Seasons'!C128</f>
        <v>Closer</v>
      </c>
      <c r="C11" s="13" t="str">
        <f aca="false">'All Seasons'!D128</f>
        <v>Rick</v>
      </c>
      <c r="D11" s="12" t="str">
        <f aca="false">'All Seasons'!I128</f>
        <v>10-4-0</v>
      </c>
      <c r="E11" s="19" t="n">
        <f aca="false">'All Seasons'!J128</f>
        <v>0.714285714285714</v>
      </c>
      <c r="F11" s="15" t="n">
        <f aca="false">'All Seasons'!K128</f>
        <v>1555.52</v>
      </c>
      <c r="G11" s="20" t="n">
        <f aca="false">'All Seasons'!L128</f>
        <v>111.108571428571</v>
      </c>
      <c r="H11" s="12" t="n">
        <f aca="false">'All Seasons'!M128</f>
        <v>5</v>
      </c>
      <c r="I11" s="12" t="n">
        <f aca="false">'All Seasons'!N128</f>
        <v>3</v>
      </c>
      <c r="J11" s="12" t="str">
        <f aca="false">IF('All Seasons'!O128=1,"YES","-")</f>
        <v>YES</v>
      </c>
    </row>
    <row r="12" customFormat="false" ht="15" hidden="false" customHeight="false" outlineLevel="0" collapsed="false">
      <c r="A12" s="12" t="n">
        <f aca="false">'All Seasons'!B129</f>
        <v>8</v>
      </c>
      <c r="B12" s="13" t="str">
        <f aca="false">'All Seasons'!C129</f>
        <v>Donkey Punchers</v>
      </c>
      <c r="C12" s="13" t="str">
        <f aca="false">'All Seasons'!D129</f>
        <v>Barrett</v>
      </c>
      <c r="D12" s="12" t="str">
        <f aca="false">'All Seasons'!I129</f>
        <v>11-3-0</v>
      </c>
      <c r="E12" s="19" t="n">
        <f aca="false">'All Seasons'!J129</f>
        <v>0.785714285714286</v>
      </c>
      <c r="F12" s="15" t="n">
        <f aca="false">'All Seasons'!K129</f>
        <v>1661.34</v>
      </c>
      <c r="G12" s="20" t="n">
        <f aca="false">'All Seasons'!L129</f>
        <v>118.667142857143</v>
      </c>
      <c r="H12" s="12" t="n">
        <f aca="false">'All Seasons'!M129</f>
        <v>4</v>
      </c>
      <c r="I12" s="12" t="n">
        <f aca="false">'All Seasons'!N129</f>
        <v>1</v>
      </c>
      <c r="J12" s="12" t="str">
        <f aca="false">IF('All Seasons'!O129=1,"YES","-")</f>
        <v>YES</v>
      </c>
    </row>
    <row r="13" customFormat="false" ht="15" hidden="false" customHeight="false" outlineLevel="0" collapsed="false">
      <c r="A13" s="12" t="n">
        <f aca="false">'All Seasons'!B130</f>
        <v>9</v>
      </c>
      <c r="B13" s="13" t="str">
        <f aca="false">'All Seasons'!C130</f>
        <v>Dark Shadows</v>
      </c>
      <c r="C13" s="13" t="str">
        <f aca="false">'All Seasons'!D130</f>
        <v>Cory</v>
      </c>
      <c r="D13" s="12" t="str">
        <f aca="false">'All Seasons'!I130</f>
        <v>4-10-0</v>
      </c>
      <c r="E13" s="19" t="n">
        <f aca="false">'All Seasons'!J130</f>
        <v>0.285714285714286</v>
      </c>
      <c r="F13" s="15" t="n">
        <f aca="false">'All Seasons'!K130</f>
        <v>1412.06</v>
      </c>
      <c r="G13" s="20" t="n">
        <f aca="false">'All Seasons'!L130</f>
        <v>100.861428571429</v>
      </c>
      <c r="H13" s="12" t="n">
        <f aca="false">'All Seasons'!M130</f>
        <v>11</v>
      </c>
      <c r="I13" s="12" t="n">
        <f aca="false">'All Seasons'!N130</f>
        <v>7</v>
      </c>
      <c r="J13" s="12" t="str">
        <f aca="false">IF('All Seasons'!O130=1,"YES","-")</f>
        <v>-</v>
      </c>
    </row>
    <row r="14" customFormat="false" ht="15" hidden="false" customHeight="false" outlineLevel="0" collapsed="false">
      <c r="A14" s="12" t="n">
        <f aca="false">'All Seasons'!B131</f>
        <v>10</v>
      </c>
      <c r="B14" s="13" t="str">
        <f aca="false">'All Seasons'!C131</f>
        <v>Who'sUrDaddy</v>
      </c>
      <c r="C14" s="13" t="str">
        <f aca="false">'All Seasons'!D131</f>
        <v>Keith</v>
      </c>
      <c r="D14" s="12" t="str">
        <f aca="false">'All Seasons'!I131</f>
        <v>6-8-0</v>
      </c>
      <c r="E14" s="19" t="n">
        <f aca="false">'All Seasons'!J131</f>
        <v>0.428571428571429</v>
      </c>
      <c r="F14" s="15" t="n">
        <f aca="false">'All Seasons'!K131</f>
        <v>1459.8</v>
      </c>
      <c r="G14" s="20" t="n">
        <f aca="false">'All Seasons'!L131</f>
        <v>104.271428571429</v>
      </c>
      <c r="H14" s="12" t="n">
        <f aca="false">'All Seasons'!M131</f>
        <v>7</v>
      </c>
      <c r="I14" s="12" t="n">
        <f aca="false">'All Seasons'!N131</f>
        <v>2</v>
      </c>
      <c r="J14" s="12" t="str">
        <f aca="false">IF('All Seasons'!O131=1,"YES","-")</f>
        <v>YES</v>
      </c>
    </row>
    <row r="15" customFormat="false" ht="15" hidden="false" customHeight="false" outlineLevel="0" collapsed="false">
      <c r="A15" s="12" t="n">
        <f aca="false">'All Seasons'!B132</f>
        <v>11</v>
      </c>
      <c r="B15" s="13" t="str">
        <f aca="false">'All Seasons'!C132</f>
        <v>Spike's Chupacabras</v>
      </c>
      <c r="C15" s="13" t="str">
        <f aca="false">'All Seasons'!D132</f>
        <v>Spike</v>
      </c>
      <c r="D15" s="12" t="str">
        <f aca="false">'All Seasons'!I132</f>
        <v>6-8-0</v>
      </c>
      <c r="E15" s="19" t="n">
        <f aca="false">'All Seasons'!J132</f>
        <v>0.428571428571429</v>
      </c>
      <c r="F15" s="15" t="n">
        <f aca="false">'All Seasons'!K132</f>
        <v>1448.4</v>
      </c>
      <c r="G15" s="20" t="n">
        <f aca="false">'All Seasons'!L132</f>
        <v>103.457142857143</v>
      </c>
      <c r="H15" s="12" t="n">
        <f aca="false">'All Seasons'!M132</f>
        <v>9</v>
      </c>
      <c r="I15" s="12" t="n">
        <f aca="false">'All Seasons'!N132</f>
        <v>12</v>
      </c>
      <c r="J15" s="12" t="str">
        <f aca="false">IF('All Seasons'!O132=1,"YES","-")</f>
        <v>-</v>
      </c>
    </row>
    <row r="16" customFormat="false" ht="15" hidden="false" customHeight="false" outlineLevel="0" collapsed="false">
      <c r="A16" s="12" t="n">
        <f aca="false">'All Seasons'!B133</f>
        <v>12</v>
      </c>
      <c r="B16" s="13" t="str">
        <f aca="false">'All Seasons'!C133</f>
        <v>Return of the Chinese Virus</v>
      </c>
      <c r="C16" s="13" t="str">
        <f aca="false">'All Seasons'!D133</f>
        <v>Brian C</v>
      </c>
      <c r="D16" s="12" t="str">
        <f aca="false">'All Seasons'!I133</f>
        <v>4-10-0</v>
      </c>
      <c r="E16" s="19" t="n">
        <f aca="false">'All Seasons'!J133</f>
        <v>0.285714285714286</v>
      </c>
      <c r="F16" s="15" t="n">
        <f aca="false">'All Seasons'!K133</f>
        <v>1436.68</v>
      </c>
      <c r="G16" s="20" t="n">
        <f aca="false">'All Seasons'!L133</f>
        <v>102.62</v>
      </c>
      <c r="H16" s="12" t="n">
        <f aca="false">'All Seasons'!M133</f>
        <v>10</v>
      </c>
      <c r="I16" s="12" t="n">
        <f aca="false">'All Seasons'!N133</f>
        <v>11</v>
      </c>
      <c r="J16" s="12" t="str">
        <f aca="false">IF('All Seasons'!O133=1,"YES","-")</f>
        <v>-</v>
      </c>
    </row>
    <row r="17" customFormat="false" ht="15" hidden="false" customHeight="false" outlineLevel="0" collapsed="false">
      <c r="B17" s="21" t="s">
        <v>116</v>
      </c>
      <c r="E17" s="22" t="n">
        <f aca="false">AVERAGE(E5:E16)</f>
        <v>0.5</v>
      </c>
      <c r="F17" s="23" t="n">
        <f aca="false">SUM(F5:F16)</f>
        <v>18526.46</v>
      </c>
      <c r="G17" s="24" t="n">
        <f aca="false">AVERAGE(G5:G16)</f>
        <v>110.276547619048</v>
      </c>
    </row>
    <row r="19" customFormat="false" ht="15" hidden="false" customHeight="false" outlineLevel="0" collapsed="false">
      <c r="A19" s="25" t="s">
        <v>117</v>
      </c>
    </row>
    <row r="20" customFormat="false" ht="15" hidden="false" customHeight="false" outlineLevel="0" collapsed="false">
      <c r="A20" s="3" t="s">
        <v>18</v>
      </c>
      <c r="C20" s="26" t="n">
        <f aca="false">CORREL($A$5:$A$16,E5:E16)</f>
        <v>-0.325221817793995</v>
      </c>
    </row>
    <row r="21" customFormat="false" ht="15" hidden="false" customHeight="false" outlineLevel="0" collapsed="false">
      <c r="A21" s="3" t="s">
        <v>22</v>
      </c>
      <c r="C21" s="26" t="n">
        <f aca="false">CORREL($A$5:$A$16,G5:G16)</f>
        <v>-0.345884027560338</v>
      </c>
    </row>
    <row r="22" customFormat="false" ht="15" hidden="false" customHeight="false" outlineLevel="0" collapsed="false">
      <c r="A22" s="3" t="s">
        <v>118</v>
      </c>
      <c r="C22" s="26" t="n">
        <f aca="false">CORREL($A$5:$A$16,H5:H16)</f>
        <v>0.300699300699301</v>
      </c>
    </row>
    <row r="23" customFormat="false" ht="15" hidden="false" customHeight="false" outlineLevel="0" collapsed="false">
      <c r="A23" s="3" t="s">
        <v>119</v>
      </c>
      <c r="C23" s="26" t="n">
        <f aca="false">CORREL($A$5:$A$16,I5:I16)</f>
        <v>0.104895104895105</v>
      </c>
    </row>
    <row r="24" customFormat="false" ht="15" hidden="false" customHeight="false" outlineLevel="0" collapsed="false">
      <c r="A24" s="2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7" t="s">
        <v>132</v>
      </c>
    </row>
    <row r="2" customFormat="false" ht="15" hidden="false" customHeight="false" outlineLevel="0" collapsed="false">
      <c r="A2" s="18" t="s">
        <v>131</v>
      </c>
    </row>
    <row r="4" customFormat="false" ht="15" hidden="false" customHeight="false" outlineLevel="0" collapsed="false">
      <c r="A4" s="6" t="s">
        <v>16</v>
      </c>
      <c r="B4" s="6" t="s">
        <v>44</v>
      </c>
      <c r="C4" s="6" t="s">
        <v>45</v>
      </c>
      <c r="D4" s="6" t="s">
        <v>50</v>
      </c>
      <c r="E4" s="6" t="s">
        <v>18</v>
      </c>
      <c r="F4" s="6" t="s">
        <v>20</v>
      </c>
      <c r="G4" s="6" t="s">
        <v>22</v>
      </c>
      <c r="H4" s="6" t="s">
        <v>24</v>
      </c>
      <c r="I4" s="6" t="s">
        <v>26</v>
      </c>
      <c r="J4" s="6" t="s">
        <v>115</v>
      </c>
    </row>
    <row r="5" customFormat="false" ht="15" hidden="false" customHeight="false" outlineLevel="0" collapsed="false">
      <c r="A5" s="12" t="n">
        <f aca="false">'All Seasons'!B134</f>
        <v>1</v>
      </c>
      <c r="B5" s="13" t="str">
        <f aca="false">'All Seasons'!C134</f>
        <v>Scott's Scabs</v>
      </c>
      <c r="C5" s="13" t="str">
        <f aca="false">'All Seasons'!D134</f>
        <v>Scott</v>
      </c>
      <c r="D5" s="12" t="str">
        <f aca="false">'All Seasons'!I134</f>
        <v>7-7-0</v>
      </c>
      <c r="E5" s="19" t="n">
        <f aca="false">'All Seasons'!J134</f>
        <v>0.5</v>
      </c>
      <c r="F5" s="15" t="n">
        <f aca="false">'All Seasons'!K134</f>
        <v>1485.66</v>
      </c>
      <c r="G5" s="20" t="n">
        <f aca="false">'All Seasons'!L134</f>
        <v>106.118571428571</v>
      </c>
      <c r="H5" s="12" t="n">
        <f aca="false">'All Seasons'!M134</f>
        <v>7</v>
      </c>
      <c r="I5" s="12" t="n">
        <f aca="false">'All Seasons'!N134</f>
        <v>7</v>
      </c>
      <c r="J5" s="12" t="str">
        <f aca="false">IF('All Seasons'!O134=1,"YES","-")</f>
        <v>-</v>
      </c>
    </row>
    <row r="6" customFormat="false" ht="15" hidden="false" customHeight="false" outlineLevel="0" collapsed="false">
      <c r="A6" s="12" t="n">
        <f aca="false">'All Seasons'!B135</f>
        <v>2</v>
      </c>
      <c r="B6" s="13" t="str">
        <f aca="false">'All Seasons'!C135</f>
        <v>Pandora's Shit-Box</v>
      </c>
      <c r="C6" s="13" t="str">
        <f aca="false">'All Seasons'!D135</f>
        <v>Brian C</v>
      </c>
      <c r="D6" s="12" t="str">
        <f aca="false">'All Seasons'!I135</f>
        <v>7-7-0</v>
      </c>
      <c r="E6" s="19" t="n">
        <f aca="false">'All Seasons'!J135</f>
        <v>0.5</v>
      </c>
      <c r="F6" s="15" t="n">
        <f aca="false">'All Seasons'!K135</f>
        <v>1647.44</v>
      </c>
      <c r="G6" s="20" t="n">
        <f aca="false">'All Seasons'!L135</f>
        <v>117.674285714286</v>
      </c>
      <c r="H6" s="12" t="n">
        <f aca="false">'All Seasons'!M135</f>
        <v>2</v>
      </c>
      <c r="I6" s="12" t="n">
        <f aca="false">'All Seasons'!N135</f>
        <v>3</v>
      </c>
      <c r="J6" s="12" t="str">
        <f aca="false">IF('All Seasons'!O135=1,"YES","-")</f>
        <v>YES</v>
      </c>
    </row>
    <row r="7" customFormat="false" ht="15" hidden="false" customHeight="false" outlineLevel="0" collapsed="false">
      <c r="A7" s="12" t="n">
        <f aca="false">'All Seasons'!B136</f>
        <v>3</v>
      </c>
      <c r="B7" s="13" t="str">
        <f aca="false">'All Seasons'!C136</f>
        <v>RedZone480</v>
      </c>
      <c r="C7" s="13" t="str">
        <f aca="false">'All Seasons'!D136</f>
        <v>Robert</v>
      </c>
      <c r="D7" s="12" t="str">
        <f aca="false">'All Seasons'!I136</f>
        <v>9-5-0</v>
      </c>
      <c r="E7" s="19" t="n">
        <f aca="false">'All Seasons'!J136</f>
        <v>0.642857142857143</v>
      </c>
      <c r="F7" s="15" t="n">
        <f aca="false">'All Seasons'!K136</f>
        <v>1393.86</v>
      </c>
      <c r="G7" s="20" t="n">
        <f aca="false">'All Seasons'!L136</f>
        <v>99.5614285714286</v>
      </c>
      <c r="H7" s="12" t="n">
        <f aca="false">'All Seasons'!M136</f>
        <v>12</v>
      </c>
      <c r="I7" s="12" t="n">
        <f aca="false">'All Seasons'!N136</f>
        <v>4</v>
      </c>
      <c r="J7" s="12" t="str">
        <f aca="false">IF('All Seasons'!O136=1,"YES","-")</f>
        <v>YES</v>
      </c>
    </row>
    <row r="8" customFormat="false" ht="15" hidden="false" customHeight="false" outlineLevel="0" collapsed="false">
      <c r="A8" s="12" t="n">
        <f aca="false">'All Seasons'!B137</f>
        <v>4</v>
      </c>
      <c r="B8" s="13" t="str">
        <f aca="false">'All Seasons'!C137</f>
        <v>AssKickers</v>
      </c>
      <c r="C8" s="13" t="str">
        <f aca="false">'All Seasons'!D137</f>
        <v>Rob M</v>
      </c>
      <c r="D8" s="12" t="str">
        <f aca="false">'All Seasons'!I137</f>
        <v>8-6-0</v>
      </c>
      <c r="E8" s="19" t="n">
        <f aca="false">'All Seasons'!J137</f>
        <v>0.571428571428571</v>
      </c>
      <c r="F8" s="15" t="n">
        <f aca="false">'All Seasons'!K137</f>
        <v>1561.26</v>
      </c>
      <c r="G8" s="20" t="n">
        <f aca="false">'All Seasons'!L137</f>
        <v>111.518571428571</v>
      </c>
      <c r="H8" s="12" t="n">
        <f aca="false">'All Seasons'!M137</f>
        <v>4</v>
      </c>
      <c r="I8" s="12" t="n">
        <f aca="false">'All Seasons'!N137</f>
        <v>6</v>
      </c>
      <c r="J8" s="12" t="str">
        <f aca="false">IF('All Seasons'!O137=1,"YES","-")</f>
        <v>YES</v>
      </c>
    </row>
    <row r="9" customFormat="false" ht="15" hidden="false" customHeight="false" outlineLevel="0" collapsed="false">
      <c r="A9" s="12" t="n">
        <f aca="false">'All Seasons'!B138</f>
        <v>5</v>
      </c>
      <c r="B9" s="13" t="str">
        <f aca="false">'All Seasons'!C138</f>
        <v>Navin R. Johnson</v>
      </c>
      <c r="C9" s="13" t="str">
        <f aca="false">'All Seasons'!D138</f>
        <v>J</v>
      </c>
      <c r="D9" s="12" t="str">
        <f aca="false">'All Seasons'!I138</f>
        <v>7-7-0</v>
      </c>
      <c r="E9" s="19" t="n">
        <f aca="false">'All Seasons'!J138</f>
        <v>0.5</v>
      </c>
      <c r="F9" s="15" t="n">
        <f aca="false">'All Seasons'!K138</f>
        <v>1524.92</v>
      </c>
      <c r="G9" s="20" t="n">
        <f aca="false">'All Seasons'!L138</f>
        <v>108.922857142857</v>
      </c>
      <c r="H9" s="12" t="n">
        <f aca="false">'All Seasons'!M138</f>
        <v>5</v>
      </c>
      <c r="I9" s="12" t="n">
        <f aca="false">'All Seasons'!N138</f>
        <v>5</v>
      </c>
      <c r="J9" s="12" t="str">
        <f aca="false">IF('All Seasons'!O138=1,"YES","-")</f>
        <v>YES</v>
      </c>
    </row>
    <row r="10" customFormat="false" ht="15" hidden="false" customHeight="false" outlineLevel="0" collapsed="false">
      <c r="A10" s="12" t="n">
        <f aca="false">'All Seasons'!B139</f>
        <v>6</v>
      </c>
      <c r="B10" s="13" t="str">
        <f aca="false">'All Seasons'!C139</f>
        <v>Closer</v>
      </c>
      <c r="C10" s="13" t="str">
        <f aca="false">'All Seasons'!D139</f>
        <v>Rick</v>
      </c>
      <c r="D10" s="12" t="str">
        <f aca="false">'All Seasons'!I139</f>
        <v>5-9-0</v>
      </c>
      <c r="E10" s="19" t="n">
        <f aca="false">'All Seasons'!J139</f>
        <v>0.357142857142857</v>
      </c>
      <c r="F10" s="15" t="n">
        <f aca="false">'All Seasons'!K139</f>
        <v>1436.36</v>
      </c>
      <c r="G10" s="20" t="n">
        <f aca="false">'All Seasons'!L139</f>
        <v>102.597142857143</v>
      </c>
      <c r="H10" s="12" t="n">
        <f aca="false">'All Seasons'!M139</f>
        <v>8</v>
      </c>
      <c r="I10" s="12" t="n">
        <f aca="false">'All Seasons'!N139</f>
        <v>10</v>
      </c>
      <c r="J10" s="12" t="str">
        <f aca="false">IF('All Seasons'!O139=1,"YES","-")</f>
        <v>-</v>
      </c>
    </row>
    <row r="11" customFormat="false" ht="15" hidden="false" customHeight="false" outlineLevel="0" collapsed="false">
      <c r="A11" s="12" t="n">
        <f aca="false">'All Seasons'!B140</f>
        <v>7</v>
      </c>
      <c r="B11" s="13" t="str">
        <f aca="false">'All Seasons'!C140</f>
        <v>nfl AROD mvp</v>
      </c>
      <c r="C11" s="13" t="str">
        <f aca="false">'All Seasons'!D140</f>
        <v>Nick</v>
      </c>
      <c r="D11" s="12" t="str">
        <f aca="false">'All Seasons'!I140</f>
        <v>5-9-0</v>
      </c>
      <c r="E11" s="19" t="n">
        <f aca="false">'All Seasons'!J140</f>
        <v>0.357142857142857</v>
      </c>
      <c r="F11" s="15" t="n">
        <f aca="false">'All Seasons'!K140</f>
        <v>1394.4</v>
      </c>
      <c r="G11" s="20" t="n">
        <f aca="false">'All Seasons'!L140</f>
        <v>99.6</v>
      </c>
      <c r="H11" s="12" t="n">
        <f aca="false">'All Seasons'!M140</f>
        <v>11</v>
      </c>
      <c r="I11" s="12" t="n">
        <f aca="false">'All Seasons'!N140</f>
        <v>12</v>
      </c>
      <c r="J11" s="12" t="str">
        <f aca="false">IF('All Seasons'!O140=1,"YES","-")</f>
        <v>-</v>
      </c>
    </row>
    <row r="12" customFormat="false" ht="15" hidden="false" customHeight="false" outlineLevel="0" collapsed="false">
      <c r="A12" s="12" t="n">
        <f aca="false">'All Seasons'!B141</f>
        <v>8</v>
      </c>
      <c r="B12" s="13" t="str">
        <f aca="false">'All Seasons'!C141</f>
        <v>PornStache</v>
      </c>
      <c r="C12" s="13" t="str">
        <f aca="false">'All Seasons'!D141</f>
        <v>Jim</v>
      </c>
      <c r="D12" s="12" t="str">
        <f aca="false">'All Seasons'!I141</f>
        <v>12-2-0</v>
      </c>
      <c r="E12" s="19" t="n">
        <f aca="false">'All Seasons'!J141</f>
        <v>0.857142857142857</v>
      </c>
      <c r="F12" s="15" t="n">
        <f aca="false">'All Seasons'!K141</f>
        <v>1650.12</v>
      </c>
      <c r="G12" s="20" t="n">
        <f aca="false">'All Seasons'!L141</f>
        <v>117.865714285714</v>
      </c>
      <c r="H12" s="12" t="n">
        <f aca="false">'All Seasons'!M141</f>
        <v>1</v>
      </c>
      <c r="I12" s="12" t="n">
        <f aca="false">'All Seasons'!N141</f>
        <v>1</v>
      </c>
      <c r="J12" s="12" t="str">
        <f aca="false">IF('All Seasons'!O141=1,"YES","-")</f>
        <v>YES</v>
      </c>
    </row>
    <row r="13" customFormat="false" ht="15" hidden="false" customHeight="false" outlineLevel="0" collapsed="false">
      <c r="A13" s="12" t="n">
        <f aca="false">'All Seasons'!B142</f>
        <v>9</v>
      </c>
      <c r="B13" s="13" t="str">
        <f aca="false">'All Seasons'!C142</f>
        <v>Who'sUrDaddy</v>
      </c>
      <c r="C13" s="13" t="str">
        <f aca="false">'All Seasons'!D142</f>
        <v>Keith</v>
      </c>
      <c r="D13" s="12" t="str">
        <f aca="false">'All Seasons'!I142</f>
        <v>7-7-0</v>
      </c>
      <c r="E13" s="19" t="n">
        <f aca="false">'All Seasons'!J142</f>
        <v>0.5</v>
      </c>
      <c r="F13" s="15" t="n">
        <f aca="false">'All Seasons'!K142</f>
        <v>1506.78</v>
      </c>
      <c r="G13" s="20" t="n">
        <f aca="false">'All Seasons'!L142</f>
        <v>107.627142857143</v>
      </c>
      <c r="H13" s="12" t="n">
        <f aca="false">'All Seasons'!M142</f>
        <v>6</v>
      </c>
      <c r="I13" s="12" t="n">
        <f aca="false">'All Seasons'!N142</f>
        <v>8</v>
      </c>
      <c r="J13" s="12" t="str">
        <f aca="false">IF('All Seasons'!O142=1,"YES","-")</f>
        <v>-</v>
      </c>
    </row>
    <row r="14" customFormat="false" ht="15" hidden="false" customHeight="false" outlineLevel="0" collapsed="false">
      <c r="A14" s="12" t="n">
        <f aca="false">'All Seasons'!B143</f>
        <v>10</v>
      </c>
      <c r="B14" s="13" t="str">
        <f aca="false">'All Seasons'!C143</f>
        <v>Going Postal</v>
      </c>
      <c r="C14" s="13" t="str">
        <f aca="false">'All Seasons'!D143</f>
        <v>Steve</v>
      </c>
      <c r="D14" s="12" t="str">
        <f aca="false">'All Seasons'!I143</f>
        <v>5-9-0</v>
      </c>
      <c r="E14" s="19" t="n">
        <f aca="false">'All Seasons'!J143</f>
        <v>0.357142857142857</v>
      </c>
      <c r="F14" s="15" t="n">
        <f aca="false">'All Seasons'!K143</f>
        <v>1424.18</v>
      </c>
      <c r="G14" s="20" t="n">
        <f aca="false">'All Seasons'!L143</f>
        <v>101.727142857143</v>
      </c>
      <c r="H14" s="12" t="n">
        <f aca="false">'All Seasons'!M143</f>
        <v>10</v>
      </c>
      <c r="I14" s="12" t="n">
        <f aca="false">'All Seasons'!N143</f>
        <v>9</v>
      </c>
      <c r="J14" s="12" t="str">
        <f aca="false">IF('All Seasons'!O143=1,"YES","-")</f>
        <v>-</v>
      </c>
    </row>
    <row r="15" customFormat="false" ht="15" hidden="false" customHeight="false" outlineLevel="0" collapsed="false">
      <c r="A15" s="12" t="n">
        <f aca="false">'All Seasons'!B144</f>
        <v>11</v>
      </c>
      <c r="B15" s="13" t="str">
        <f aca="false">'All Seasons'!C144</f>
        <v>Donkey Punchers</v>
      </c>
      <c r="C15" s="13" t="str">
        <f aca="false">'All Seasons'!D144</f>
        <v>Barrett</v>
      </c>
      <c r="D15" s="12" t="str">
        <f aca="false">'All Seasons'!I144</f>
        <v>5-9-0</v>
      </c>
      <c r="E15" s="19" t="n">
        <f aca="false">'All Seasons'!J144</f>
        <v>0.357142857142857</v>
      </c>
      <c r="F15" s="15" t="n">
        <f aca="false">'All Seasons'!K144</f>
        <v>1430.94</v>
      </c>
      <c r="G15" s="20" t="n">
        <f aca="false">'All Seasons'!L144</f>
        <v>102.21</v>
      </c>
      <c r="H15" s="12" t="n">
        <f aca="false">'All Seasons'!M144</f>
        <v>9</v>
      </c>
      <c r="I15" s="12" t="n">
        <f aca="false">'All Seasons'!N144</f>
        <v>11</v>
      </c>
      <c r="J15" s="12" t="str">
        <f aca="false">IF('All Seasons'!O144=1,"YES","-")</f>
        <v>-</v>
      </c>
    </row>
    <row r="16" customFormat="false" ht="15" hidden="false" customHeight="false" outlineLevel="0" collapsed="false">
      <c r="A16" s="12" t="n">
        <f aca="false">'All Seasons'!B145</f>
        <v>12</v>
      </c>
      <c r="B16" s="13" t="str">
        <f aca="false">'All Seasons'!C145</f>
        <v>Fighting Mickeys</v>
      </c>
      <c r="C16" s="13" t="str">
        <f aca="false">'All Seasons'!D145</f>
        <v>Cory</v>
      </c>
      <c r="D16" s="12" t="str">
        <f aca="false">'All Seasons'!I145</f>
        <v>7-7-0</v>
      </c>
      <c r="E16" s="19" t="n">
        <f aca="false">'All Seasons'!J145</f>
        <v>0.5</v>
      </c>
      <c r="F16" s="15" t="n">
        <f aca="false">'All Seasons'!K145</f>
        <v>1593.38</v>
      </c>
      <c r="G16" s="20" t="n">
        <f aca="false">'All Seasons'!L145</f>
        <v>113.812857142857</v>
      </c>
      <c r="H16" s="12" t="n">
        <f aca="false">'All Seasons'!M145</f>
        <v>3</v>
      </c>
      <c r="I16" s="12" t="n">
        <f aca="false">'All Seasons'!N145</f>
        <v>2</v>
      </c>
      <c r="J16" s="12" t="str">
        <f aca="false">IF('All Seasons'!O145=1,"YES","-")</f>
        <v>YES</v>
      </c>
    </row>
    <row r="17" customFormat="false" ht="15" hidden="false" customHeight="false" outlineLevel="0" collapsed="false">
      <c r="B17" s="21" t="s">
        <v>116</v>
      </c>
      <c r="E17" s="22" t="n">
        <f aca="false">AVERAGE(E5:E16)</f>
        <v>0.5</v>
      </c>
      <c r="F17" s="23" t="n">
        <f aca="false">SUM(F5:F16)</f>
        <v>18049.3</v>
      </c>
      <c r="G17" s="24" t="n">
        <f aca="false">AVERAGE(G5:G16)</f>
        <v>107.43630952381</v>
      </c>
    </row>
    <row r="19" customFormat="false" ht="15" hidden="false" customHeight="false" outlineLevel="0" collapsed="false">
      <c r="A19" s="25" t="s">
        <v>117</v>
      </c>
    </row>
    <row r="20" customFormat="false" ht="15" hidden="false" customHeight="false" outlineLevel="0" collapsed="false">
      <c r="A20" s="3" t="s">
        <v>18</v>
      </c>
      <c r="C20" s="26" t="n">
        <f aca="false">CORREL($A$5:$A$16,E5:E16)</f>
        <v>-0.221934883993827</v>
      </c>
    </row>
    <row r="21" customFormat="false" ht="15" hidden="false" customHeight="false" outlineLevel="0" collapsed="false">
      <c r="A21" s="3" t="s">
        <v>22</v>
      </c>
      <c r="C21" s="26" t="n">
        <f aca="false">CORREL($A$5:$A$16,G5:G16)</f>
        <v>-0.0666953208891969</v>
      </c>
    </row>
    <row r="22" customFormat="false" ht="15" hidden="false" customHeight="false" outlineLevel="0" collapsed="false">
      <c r="A22" s="3" t="s">
        <v>118</v>
      </c>
      <c r="C22" s="26" t="n">
        <f aca="false">CORREL($A$5:$A$16,H5:H16)</f>
        <v>0.020979020979021</v>
      </c>
    </row>
    <row r="23" customFormat="false" ht="15" hidden="false" customHeight="false" outlineLevel="0" collapsed="false">
      <c r="A23" s="3" t="s">
        <v>119</v>
      </c>
      <c r="C23" s="26" t="n">
        <f aca="false">CORREL($A$5:$A$16,I5:I16)</f>
        <v>0.181818181818182</v>
      </c>
    </row>
    <row r="24" customFormat="false" ht="15" hidden="false" customHeight="false" outlineLevel="0" collapsed="false">
      <c r="A24" s="2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7" t="s">
        <v>133</v>
      </c>
    </row>
    <row r="2" customFormat="false" ht="15" hidden="false" customHeight="false" outlineLevel="0" collapsed="false">
      <c r="A2" s="18" t="s">
        <v>131</v>
      </c>
    </row>
    <row r="4" customFormat="false" ht="15" hidden="false" customHeight="false" outlineLevel="0" collapsed="false">
      <c r="A4" s="6" t="s">
        <v>16</v>
      </c>
      <c r="B4" s="6" t="s">
        <v>44</v>
      </c>
      <c r="C4" s="6" t="s">
        <v>45</v>
      </c>
      <c r="D4" s="6" t="s">
        <v>50</v>
      </c>
      <c r="E4" s="6" t="s">
        <v>18</v>
      </c>
      <c r="F4" s="6" t="s">
        <v>20</v>
      </c>
      <c r="G4" s="6" t="s">
        <v>22</v>
      </c>
      <c r="H4" s="6" t="s">
        <v>24</v>
      </c>
      <c r="I4" s="6" t="s">
        <v>26</v>
      </c>
      <c r="J4" s="6" t="s">
        <v>115</v>
      </c>
    </row>
    <row r="5" customFormat="false" ht="15" hidden="false" customHeight="false" outlineLevel="0" collapsed="false">
      <c r="A5" s="12" t="n">
        <f aca="false">'All Seasons'!B146</f>
        <v>1</v>
      </c>
      <c r="B5" s="13" t="str">
        <f aca="false">'All Seasons'!C146</f>
        <v>Scott's Scabs</v>
      </c>
      <c r="C5" s="13" t="str">
        <f aca="false">'All Seasons'!D146</f>
        <v>Scott</v>
      </c>
      <c r="D5" s="12" t="str">
        <f aca="false">'All Seasons'!I146</f>
        <v>6-8-0</v>
      </c>
      <c r="E5" s="19" t="n">
        <f aca="false">'All Seasons'!J146</f>
        <v>0.428571428571429</v>
      </c>
      <c r="F5" s="15" t="n">
        <f aca="false">'All Seasons'!K146</f>
        <v>1456.8</v>
      </c>
      <c r="G5" s="20" t="n">
        <f aca="false">'All Seasons'!L146</f>
        <v>104.057142857143</v>
      </c>
      <c r="H5" s="12" t="n">
        <f aca="false">'All Seasons'!M146</f>
        <v>8</v>
      </c>
      <c r="I5" s="12" t="n">
        <f aca="false">'All Seasons'!N146</f>
        <v>7</v>
      </c>
      <c r="J5" s="12" t="str">
        <f aca="false">IF('All Seasons'!O146=1,"YES","-")</f>
        <v>-</v>
      </c>
    </row>
    <row r="6" customFormat="false" ht="15" hidden="false" customHeight="false" outlineLevel="0" collapsed="false">
      <c r="A6" s="12" t="n">
        <f aca="false">'All Seasons'!B147</f>
        <v>2</v>
      </c>
      <c r="B6" s="13" t="str">
        <f aca="false">'All Seasons'!C147</f>
        <v>RedNecks</v>
      </c>
      <c r="C6" s="13" t="str">
        <f aca="false">'All Seasons'!D147</f>
        <v>Jim</v>
      </c>
      <c r="D6" s="12" t="str">
        <f aca="false">'All Seasons'!I147</f>
        <v>4-10-0</v>
      </c>
      <c r="E6" s="19" t="n">
        <f aca="false">'All Seasons'!J147</f>
        <v>0.285714285714286</v>
      </c>
      <c r="F6" s="15" t="n">
        <f aca="false">'All Seasons'!K147</f>
        <v>1312.3</v>
      </c>
      <c r="G6" s="20" t="n">
        <f aca="false">'All Seasons'!L147</f>
        <v>93.7357142857143</v>
      </c>
      <c r="H6" s="12" t="n">
        <f aca="false">'All Seasons'!M147</f>
        <v>11</v>
      </c>
      <c r="I6" s="12" t="n">
        <f aca="false">'All Seasons'!N147</f>
        <v>11</v>
      </c>
      <c r="J6" s="12" t="str">
        <f aca="false">IF('All Seasons'!O147=1,"YES","-")</f>
        <v>-</v>
      </c>
    </row>
    <row r="7" customFormat="false" ht="15" hidden="false" customHeight="false" outlineLevel="0" collapsed="false">
      <c r="A7" s="12" t="n">
        <f aca="false">'All Seasons'!B148</f>
        <v>3</v>
      </c>
      <c r="B7" s="13" t="str">
        <f aca="false">'All Seasons'!C148</f>
        <v>Closer</v>
      </c>
      <c r="C7" s="13" t="str">
        <f aca="false">'All Seasons'!D148</f>
        <v>Rick</v>
      </c>
      <c r="D7" s="12" t="str">
        <f aca="false">'All Seasons'!I148</f>
        <v>7-7-0</v>
      </c>
      <c r="E7" s="19" t="n">
        <f aca="false">'All Seasons'!J148</f>
        <v>0.5</v>
      </c>
      <c r="F7" s="15" t="n">
        <f aca="false">'All Seasons'!K148</f>
        <v>1514.86</v>
      </c>
      <c r="G7" s="20" t="n">
        <f aca="false">'All Seasons'!L148</f>
        <v>108.204285714286</v>
      </c>
      <c r="H7" s="12" t="n">
        <f aca="false">'All Seasons'!M148</f>
        <v>6</v>
      </c>
      <c r="I7" s="12" t="n">
        <f aca="false">'All Seasons'!N148</f>
        <v>6</v>
      </c>
      <c r="J7" s="12" t="str">
        <f aca="false">IF('All Seasons'!O148=1,"YES","-")</f>
        <v>YES</v>
      </c>
    </row>
    <row r="8" customFormat="false" ht="15" hidden="false" customHeight="false" outlineLevel="0" collapsed="false">
      <c r="A8" s="12" t="n">
        <f aca="false">'All Seasons'!B149</f>
        <v>4</v>
      </c>
      <c r="B8" s="13" t="str">
        <f aca="false">'All Seasons'!C149</f>
        <v>Going Postal</v>
      </c>
      <c r="C8" s="13" t="str">
        <f aca="false">'All Seasons'!D149</f>
        <v>Steve</v>
      </c>
      <c r="D8" s="12" t="str">
        <f aca="false">'All Seasons'!I149</f>
        <v>5-9-0</v>
      </c>
      <c r="E8" s="19" t="n">
        <f aca="false">'All Seasons'!J149</f>
        <v>0.357142857142857</v>
      </c>
      <c r="F8" s="15" t="n">
        <f aca="false">'All Seasons'!K149</f>
        <v>1303.02</v>
      </c>
      <c r="G8" s="20" t="n">
        <f aca="false">'All Seasons'!L149</f>
        <v>93.0728571428572</v>
      </c>
      <c r="H8" s="12" t="n">
        <f aca="false">'All Seasons'!M149</f>
        <v>12</v>
      </c>
      <c r="I8" s="12" t="n">
        <f aca="false">'All Seasons'!N149</f>
        <v>10</v>
      </c>
      <c r="J8" s="12" t="str">
        <f aca="false">IF('All Seasons'!O149=1,"YES","-")</f>
        <v>-</v>
      </c>
    </row>
    <row r="9" customFormat="false" ht="15" hidden="false" customHeight="false" outlineLevel="0" collapsed="false">
      <c r="A9" s="12" t="n">
        <f aca="false">'All Seasons'!B150</f>
        <v>5</v>
      </c>
      <c r="B9" s="13" t="str">
        <f aca="false">'All Seasons'!C150</f>
        <v>PappyVanDrinkle</v>
      </c>
      <c r="C9" s="13" t="str">
        <f aca="false">'All Seasons'!D150</f>
        <v>Keith</v>
      </c>
      <c r="D9" s="12" t="str">
        <f aca="false">'All Seasons'!I150</f>
        <v>12-2-0</v>
      </c>
      <c r="E9" s="19" t="n">
        <f aca="false">'All Seasons'!J150</f>
        <v>0.857142857142857</v>
      </c>
      <c r="F9" s="15" t="n">
        <f aca="false">'All Seasons'!K150</f>
        <v>1725.64</v>
      </c>
      <c r="G9" s="20" t="n">
        <f aca="false">'All Seasons'!L150</f>
        <v>123.26</v>
      </c>
      <c r="H9" s="12" t="n">
        <f aca="false">'All Seasons'!M150</f>
        <v>1</v>
      </c>
      <c r="I9" s="12" t="n">
        <f aca="false">'All Seasons'!N150</f>
        <v>2</v>
      </c>
      <c r="J9" s="12" t="str">
        <f aca="false">IF('All Seasons'!O150=1,"YES","-")</f>
        <v>YES</v>
      </c>
    </row>
    <row r="10" customFormat="false" ht="15" hidden="false" customHeight="false" outlineLevel="0" collapsed="false">
      <c r="A10" s="12" t="n">
        <f aca="false">'All Seasons'!B151</f>
        <v>6</v>
      </c>
      <c r="B10" s="13" t="str">
        <f aca="false">'All Seasons'!C151</f>
        <v>Broken Rhules</v>
      </c>
      <c r="C10" s="13" t="str">
        <f aca="false">'All Seasons'!D151</f>
        <v>Cory</v>
      </c>
      <c r="D10" s="12" t="str">
        <f aca="false">'All Seasons'!I151</f>
        <v>6-8-0</v>
      </c>
      <c r="E10" s="19" t="n">
        <f aca="false">'All Seasons'!J151</f>
        <v>0.428571428571429</v>
      </c>
      <c r="F10" s="15" t="n">
        <f aca="false">'All Seasons'!K151</f>
        <v>1522.18</v>
      </c>
      <c r="G10" s="20" t="n">
        <f aca="false">'All Seasons'!L151</f>
        <v>108.727142857143</v>
      </c>
      <c r="H10" s="12" t="n">
        <f aca="false">'All Seasons'!M151</f>
        <v>5</v>
      </c>
      <c r="I10" s="12" t="n">
        <f aca="false">'All Seasons'!N151</f>
        <v>8</v>
      </c>
      <c r="J10" s="12" t="str">
        <f aca="false">IF('All Seasons'!O151=1,"YES","-")</f>
        <v>-</v>
      </c>
    </row>
    <row r="11" customFormat="false" ht="15" hidden="false" customHeight="false" outlineLevel="0" collapsed="false">
      <c r="A11" s="12" t="n">
        <f aca="false">'All Seasons'!B152</f>
        <v>7</v>
      </c>
      <c r="B11" s="13" t="str">
        <f aca="false">'All Seasons'!C152</f>
        <v>nfl AROD mvp</v>
      </c>
      <c r="C11" s="13" t="str">
        <f aca="false">'All Seasons'!D152</f>
        <v>Nick</v>
      </c>
      <c r="D11" s="12" t="str">
        <f aca="false">'All Seasons'!I152</f>
        <v>6-8-0</v>
      </c>
      <c r="E11" s="19" t="n">
        <f aca="false">'All Seasons'!J152</f>
        <v>0.428571428571429</v>
      </c>
      <c r="F11" s="15" t="n">
        <f aca="false">'All Seasons'!K152</f>
        <v>1426.06</v>
      </c>
      <c r="G11" s="20" t="n">
        <f aca="false">'All Seasons'!L152</f>
        <v>101.861428571429</v>
      </c>
      <c r="H11" s="12" t="n">
        <f aca="false">'All Seasons'!M152</f>
        <v>9</v>
      </c>
      <c r="I11" s="12" t="n">
        <f aca="false">'All Seasons'!N152</f>
        <v>9</v>
      </c>
      <c r="J11" s="12" t="str">
        <f aca="false">IF('All Seasons'!O152=1,"YES","-")</f>
        <v>-</v>
      </c>
    </row>
    <row r="12" customFormat="false" ht="15" hidden="false" customHeight="false" outlineLevel="0" collapsed="false">
      <c r="A12" s="12" t="n">
        <f aca="false">'All Seasons'!B153</f>
        <v>8</v>
      </c>
      <c r="B12" s="13" t="str">
        <f aca="false">'All Seasons'!C153</f>
        <v>Boof</v>
      </c>
      <c r="C12" s="13" t="str">
        <f aca="false">'All Seasons'!D153</f>
        <v>J</v>
      </c>
      <c r="D12" s="12" t="str">
        <f aca="false">'All Seasons'!I153</f>
        <v>4-10-0</v>
      </c>
      <c r="E12" s="19" t="n">
        <f aca="false">'All Seasons'!J153</f>
        <v>0.285714285714286</v>
      </c>
      <c r="F12" s="15" t="n">
        <f aca="false">'All Seasons'!K153</f>
        <v>1358.58</v>
      </c>
      <c r="G12" s="20" t="n">
        <f aca="false">'All Seasons'!L153</f>
        <v>97.0414285714286</v>
      </c>
      <c r="H12" s="12" t="n">
        <f aca="false">'All Seasons'!M153</f>
        <v>10</v>
      </c>
      <c r="I12" s="12" t="n">
        <f aca="false">'All Seasons'!N153</f>
        <v>12</v>
      </c>
      <c r="J12" s="12" t="str">
        <f aca="false">IF('All Seasons'!O153=1,"YES","-")</f>
        <v>-</v>
      </c>
    </row>
    <row r="13" customFormat="false" ht="15" hidden="false" customHeight="false" outlineLevel="0" collapsed="false">
      <c r="A13" s="12" t="n">
        <f aca="false">'All Seasons'!B154</f>
        <v>9</v>
      </c>
      <c r="B13" s="13" t="str">
        <f aca="false">'All Seasons'!C154</f>
        <v>AssKickers</v>
      </c>
      <c r="C13" s="13" t="str">
        <f aca="false">'All Seasons'!D154</f>
        <v>Rob M</v>
      </c>
      <c r="D13" s="12" t="str">
        <f aca="false">'All Seasons'!I154</f>
        <v>10-4-0</v>
      </c>
      <c r="E13" s="19" t="n">
        <f aca="false">'All Seasons'!J154</f>
        <v>0.714285714285714</v>
      </c>
      <c r="F13" s="15" t="n">
        <f aca="false">'All Seasons'!K154</f>
        <v>1639.72</v>
      </c>
      <c r="G13" s="20" t="n">
        <f aca="false">'All Seasons'!L154</f>
        <v>117.122857142857</v>
      </c>
      <c r="H13" s="12" t="n">
        <f aca="false">'All Seasons'!M154</f>
        <v>2</v>
      </c>
      <c r="I13" s="12" t="n">
        <f aca="false">'All Seasons'!N154</f>
        <v>1</v>
      </c>
      <c r="J13" s="12" t="str">
        <f aca="false">IF('All Seasons'!O154=1,"YES","-")</f>
        <v>YES</v>
      </c>
    </row>
    <row r="14" customFormat="false" ht="15" hidden="false" customHeight="false" outlineLevel="0" collapsed="false">
      <c r="A14" s="12" t="n">
        <f aca="false">'All Seasons'!B155</f>
        <v>10</v>
      </c>
      <c r="B14" s="13" t="str">
        <f aca="false">'All Seasons'!C155</f>
        <v>Pig 'N a Poke</v>
      </c>
      <c r="C14" s="13" t="str">
        <f aca="false">'All Seasons'!D155</f>
        <v>Brian C</v>
      </c>
      <c r="D14" s="12" t="str">
        <f aca="false">'All Seasons'!I155</f>
        <v>7-7-0</v>
      </c>
      <c r="E14" s="19" t="n">
        <f aca="false">'All Seasons'!J155</f>
        <v>0.5</v>
      </c>
      <c r="F14" s="15" t="n">
        <f aca="false">'All Seasons'!K155</f>
        <v>1494.16</v>
      </c>
      <c r="G14" s="20" t="n">
        <f aca="false">'All Seasons'!L155</f>
        <v>106.725714285714</v>
      </c>
      <c r="H14" s="12" t="n">
        <f aca="false">'All Seasons'!M155</f>
        <v>7</v>
      </c>
      <c r="I14" s="12" t="n">
        <f aca="false">'All Seasons'!N155</f>
        <v>5</v>
      </c>
      <c r="J14" s="12" t="str">
        <f aca="false">IF('All Seasons'!O155=1,"YES","-")</f>
        <v>YES</v>
      </c>
    </row>
    <row r="15" customFormat="false" ht="15" hidden="false" customHeight="false" outlineLevel="0" collapsed="false">
      <c r="A15" s="12" t="n">
        <f aca="false">'All Seasons'!B156</f>
        <v>11</v>
      </c>
      <c r="B15" s="13" t="str">
        <f aca="false">'All Seasons'!C156</f>
        <v>Donkey Punchers</v>
      </c>
      <c r="C15" s="13" t="str">
        <f aca="false">'All Seasons'!D156</f>
        <v>Barrett</v>
      </c>
      <c r="D15" s="12" t="str">
        <f aca="false">'All Seasons'!I156</f>
        <v>11-3-0</v>
      </c>
      <c r="E15" s="19" t="n">
        <f aca="false">'All Seasons'!J156</f>
        <v>0.785714285714286</v>
      </c>
      <c r="F15" s="15" t="n">
        <f aca="false">'All Seasons'!K156</f>
        <v>1639.7</v>
      </c>
      <c r="G15" s="20" t="n">
        <f aca="false">'All Seasons'!L156</f>
        <v>117.121428571429</v>
      </c>
      <c r="H15" s="12" t="n">
        <f aca="false">'All Seasons'!M156</f>
        <v>3</v>
      </c>
      <c r="I15" s="12" t="n">
        <f aca="false">'All Seasons'!N156</f>
        <v>3</v>
      </c>
      <c r="J15" s="12" t="str">
        <f aca="false">IF('All Seasons'!O156=1,"YES","-")</f>
        <v>YES</v>
      </c>
    </row>
    <row r="16" customFormat="false" ht="15" hidden="false" customHeight="false" outlineLevel="0" collapsed="false">
      <c r="A16" s="12" t="n">
        <f aca="false">'All Seasons'!B157</f>
        <v>12</v>
      </c>
      <c r="B16" s="13" t="str">
        <f aca="false">'All Seasons'!C157</f>
        <v>RedZone480</v>
      </c>
      <c r="C16" s="13" t="str">
        <f aca="false">'All Seasons'!D157</f>
        <v>Robert</v>
      </c>
      <c r="D16" s="12" t="str">
        <f aca="false">'All Seasons'!I157</f>
        <v>6-8-0</v>
      </c>
      <c r="E16" s="19" t="n">
        <f aca="false">'All Seasons'!J157</f>
        <v>0.428571428571429</v>
      </c>
      <c r="F16" s="15" t="n">
        <f aca="false">'All Seasons'!K157</f>
        <v>1527.4</v>
      </c>
      <c r="G16" s="20" t="n">
        <f aca="false">'All Seasons'!L157</f>
        <v>109.1</v>
      </c>
      <c r="H16" s="12" t="n">
        <f aca="false">'All Seasons'!M157</f>
        <v>4</v>
      </c>
      <c r="I16" s="12" t="n">
        <f aca="false">'All Seasons'!N157</f>
        <v>4</v>
      </c>
      <c r="J16" s="12" t="str">
        <f aca="false">IF('All Seasons'!O157=1,"YES","-")</f>
        <v>YES</v>
      </c>
    </row>
    <row r="17" customFormat="false" ht="15" hidden="false" customHeight="false" outlineLevel="0" collapsed="false">
      <c r="B17" s="21" t="s">
        <v>116</v>
      </c>
      <c r="E17" s="22" t="n">
        <f aca="false">AVERAGE(E5:E16)</f>
        <v>0.5</v>
      </c>
      <c r="F17" s="23" t="n">
        <f aca="false">SUM(F5:F16)</f>
        <v>17920.42</v>
      </c>
      <c r="G17" s="24" t="n">
        <f aca="false">AVERAGE(G5:G16)</f>
        <v>106.669166666667</v>
      </c>
    </row>
    <row r="19" customFormat="false" ht="15" hidden="false" customHeight="false" outlineLevel="0" collapsed="false">
      <c r="A19" s="25" t="s">
        <v>117</v>
      </c>
    </row>
    <row r="20" customFormat="false" ht="15" hidden="false" customHeight="false" outlineLevel="0" collapsed="false">
      <c r="A20" s="3" t="s">
        <v>18</v>
      </c>
      <c r="C20" s="26" t="n">
        <f aca="false">CORREL($A$5:$A$16,E5:E16)</f>
        <v>0.306955319070673</v>
      </c>
    </row>
    <row r="21" customFormat="false" ht="15" hidden="false" customHeight="false" outlineLevel="0" collapsed="false">
      <c r="A21" s="3" t="s">
        <v>22</v>
      </c>
      <c r="C21" s="26" t="n">
        <f aca="false">CORREL($A$5:$A$16,G5:G16)</f>
        <v>0.38755626669458</v>
      </c>
    </row>
    <row r="22" customFormat="false" ht="15" hidden="false" customHeight="false" outlineLevel="0" collapsed="false">
      <c r="A22" s="3" t="s">
        <v>118</v>
      </c>
      <c r="C22" s="26" t="n">
        <f aca="false">CORREL($A$5:$A$16,H5:H16)</f>
        <v>-0.447552447552448</v>
      </c>
    </row>
    <row r="23" customFormat="false" ht="15" hidden="false" customHeight="false" outlineLevel="0" collapsed="false">
      <c r="A23" s="3" t="s">
        <v>119</v>
      </c>
      <c r="C23" s="26" t="n">
        <f aca="false">CORREL($A$5:$A$16,I5:I16)</f>
        <v>-0.440559440559441</v>
      </c>
    </row>
    <row r="24" customFormat="false" ht="15" hidden="false" customHeight="false" outlineLevel="0" collapsed="false">
      <c r="A24" s="2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7" t="s">
        <v>134</v>
      </c>
    </row>
    <row r="2" customFormat="false" ht="15" hidden="false" customHeight="false" outlineLevel="0" collapsed="false">
      <c r="A2" s="18" t="s">
        <v>131</v>
      </c>
    </row>
    <row r="4" customFormat="false" ht="15" hidden="false" customHeight="false" outlineLevel="0" collapsed="false">
      <c r="A4" s="6" t="s">
        <v>16</v>
      </c>
      <c r="B4" s="6" t="s">
        <v>44</v>
      </c>
      <c r="C4" s="6" t="s">
        <v>45</v>
      </c>
      <c r="D4" s="6" t="s">
        <v>50</v>
      </c>
      <c r="E4" s="6" t="s">
        <v>18</v>
      </c>
      <c r="F4" s="6" t="s">
        <v>20</v>
      </c>
      <c r="G4" s="6" t="s">
        <v>22</v>
      </c>
      <c r="H4" s="6" t="s">
        <v>24</v>
      </c>
      <c r="I4" s="6" t="s">
        <v>26</v>
      </c>
      <c r="J4" s="6" t="s">
        <v>115</v>
      </c>
    </row>
    <row r="5" customFormat="false" ht="15" hidden="false" customHeight="false" outlineLevel="0" collapsed="false">
      <c r="A5" s="12" t="n">
        <f aca="false">'All Seasons'!B158</f>
        <v>1</v>
      </c>
      <c r="B5" s="13" t="str">
        <f aca="false">'All Seasons'!C158</f>
        <v>Newman</v>
      </c>
      <c r="C5" s="13" t="str">
        <f aca="false">'All Seasons'!D158</f>
        <v>David</v>
      </c>
      <c r="D5" s="12" t="str">
        <f aca="false">'All Seasons'!I158</f>
        <v>4-10-0</v>
      </c>
      <c r="E5" s="19" t="n">
        <f aca="false">'All Seasons'!J158</f>
        <v>0.285714285714286</v>
      </c>
      <c r="F5" s="15" t="n">
        <f aca="false">'All Seasons'!K158</f>
        <v>1169</v>
      </c>
      <c r="G5" s="20" t="n">
        <f aca="false">'All Seasons'!L158</f>
        <v>83.5</v>
      </c>
      <c r="H5" s="12" t="n">
        <f aca="false">'All Seasons'!M158</f>
        <v>12</v>
      </c>
      <c r="I5" s="12" t="n">
        <f aca="false">'All Seasons'!N158</f>
        <v>11</v>
      </c>
      <c r="J5" s="12" t="str">
        <f aca="false">IF('All Seasons'!O158=1,"YES","-")</f>
        <v>-</v>
      </c>
    </row>
    <row r="6" customFormat="false" ht="15" hidden="false" customHeight="false" outlineLevel="0" collapsed="false">
      <c r="A6" s="12" t="n">
        <f aca="false">'All Seasons'!B159</f>
        <v>2</v>
      </c>
      <c r="B6" s="13" t="str">
        <f aca="false">'All Seasons'!C159</f>
        <v>Scott's Scabs</v>
      </c>
      <c r="C6" s="13" t="str">
        <f aca="false">'All Seasons'!D159</f>
        <v>Scott</v>
      </c>
      <c r="D6" s="12" t="str">
        <f aca="false">'All Seasons'!I159</f>
        <v>7-7-0</v>
      </c>
      <c r="E6" s="19" t="n">
        <f aca="false">'All Seasons'!J159</f>
        <v>0.5</v>
      </c>
      <c r="F6" s="15" t="n">
        <f aca="false">'All Seasons'!K159</f>
        <v>1542.12</v>
      </c>
      <c r="G6" s="20" t="n">
        <f aca="false">'All Seasons'!L159</f>
        <v>110.151428571429</v>
      </c>
      <c r="H6" s="12" t="n">
        <f aca="false">'All Seasons'!M159</f>
        <v>6</v>
      </c>
      <c r="I6" s="12" t="n">
        <f aca="false">'All Seasons'!N159</f>
        <v>1</v>
      </c>
      <c r="J6" s="12" t="str">
        <f aca="false">IF('All Seasons'!O159=1,"YES","-")</f>
        <v>YES</v>
      </c>
    </row>
    <row r="7" customFormat="false" ht="15" hidden="false" customHeight="false" outlineLevel="0" collapsed="false">
      <c r="A7" s="12" t="n">
        <f aca="false">'All Seasons'!B160</f>
        <v>3</v>
      </c>
      <c r="B7" s="13" t="str">
        <f aca="false">'All Seasons'!C160</f>
        <v>AssKickers</v>
      </c>
      <c r="C7" s="13" t="str">
        <f aca="false">'All Seasons'!D160</f>
        <v>Rob M</v>
      </c>
      <c r="D7" s="12" t="str">
        <f aca="false">'All Seasons'!I160</f>
        <v>8-6-0</v>
      </c>
      <c r="E7" s="19" t="n">
        <f aca="false">'All Seasons'!J160</f>
        <v>0.571428571428571</v>
      </c>
      <c r="F7" s="15" t="n">
        <f aca="false">'All Seasons'!K160</f>
        <v>1616.54</v>
      </c>
      <c r="G7" s="20" t="n">
        <f aca="false">'All Seasons'!L160</f>
        <v>115.467142857143</v>
      </c>
      <c r="H7" s="12" t="n">
        <f aca="false">'All Seasons'!M160</f>
        <v>2</v>
      </c>
      <c r="I7" s="12" t="n">
        <f aca="false">'All Seasons'!N160</f>
        <v>2</v>
      </c>
      <c r="J7" s="12" t="str">
        <f aca="false">IF('All Seasons'!O160=1,"YES","-")</f>
        <v>YES</v>
      </c>
    </row>
    <row r="8" customFormat="false" ht="15" hidden="false" customHeight="false" outlineLevel="0" collapsed="false">
      <c r="A8" s="12" t="n">
        <f aca="false">'All Seasons'!B161</f>
        <v>4</v>
      </c>
      <c r="B8" s="13" t="str">
        <f aca="false">'All Seasons'!C161</f>
        <v>The Crytpo Cheetos</v>
      </c>
      <c r="C8" s="13" t="str">
        <f aca="false">'All Seasons'!D161</f>
        <v>Brian C</v>
      </c>
      <c r="D8" s="12" t="str">
        <f aca="false">'All Seasons'!I161</f>
        <v>5-9-0</v>
      </c>
      <c r="E8" s="19" t="n">
        <f aca="false">'All Seasons'!J161</f>
        <v>0.357142857142857</v>
      </c>
      <c r="F8" s="15" t="n">
        <f aca="false">'All Seasons'!K161</f>
        <v>1462.58</v>
      </c>
      <c r="G8" s="20" t="n">
        <f aca="false">'All Seasons'!L161</f>
        <v>104.47</v>
      </c>
      <c r="H8" s="12" t="n">
        <f aca="false">'All Seasons'!M161</f>
        <v>9</v>
      </c>
      <c r="I8" s="12" t="n">
        <f aca="false">'All Seasons'!N161</f>
        <v>10</v>
      </c>
      <c r="J8" s="12" t="str">
        <f aca="false">IF('All Seasons'!O161=1,"YES","-")</f>
        <v>-</v>
      </c>
    </row>
    <row r="9" customFormat="false" ht="15" hidden="false" customHeight="false" outlineLevel="0" collapsed="false">
      <c r="A9" s="12" t="n">
        <f aca="false">'All Seasons'!B162</f>
        <v>5</v>
      </c>
      <c r="B9" s="13" t="str">
        <f aca="false">'All Seasons'!C162</f>
        <v>Broken Rhules</v>
      </c>
      <c r="C9" s="13" t="str">
        <f aca="false">'All Seasons'!D162</f>
        <v>Cory</v>
      </c>
      <c r="D9" s="12" t="str">
        <f aca="false">'All Seasons'!I162</f>
        <v>10-4-0</v>
      </c>
      <c r="E9" s="19" t="n">
        <f aca="false">'All Seasons'!J162</f>
        <v>0.714285714285714</v>
      </c>
      <c r="F9" s="15" t="n">
        <f aca="false">'All Seasons'!K162</f>
        <v>1521.46</v>
      </c>
      <c r="G9" s="20" t="n">
        <f aca="false">'All Seasons'!L162</f>
        <v>108.675714285714</v>
      </c>
      <c r="H9" s="12" t="n">
        <f aca="false">'All Seasons'!M162</f>
        <v>7</v>
      </c>
      <c r="I9" s="12" t="n">
        <f aca="false">'All Seasons'!N162</f>
        <v>4</v>
      </c>
      <c r="J9" s="12" t="str">
        <f aca="false">IF('All Seasons'!O162=1,"YES","-")</f>
        <v>YES</v>
      </c>
    </row>
    <row r="10" customFormat="false" ht="15" hidden="false" customHeight="false" outlineLevel="0" collapsed="false">
      <c r="A10" s="12" t="n">
        <f aca="false">'All Seasons'!B163</f>
        <v>6</v>
      </c>
      <c r="B10" s="13" t="str">
        <f aca="false">'All Seasons'!C163</f>
        <v>RedZone480</v>
      </c>
      <c r="C10" s="13" t="str">
        <f aca="false">'All Seasons'!D163</f>
        <v>Robert</v>
      </c>
      <c r="D10" s="12" t="str">
        <f aca="false">'All Seasons'!I163</f>
        <v>9-5-0</v>
      </c>
      <c r="E10" s="19" t="n">
        <f aca="false">'All Seasons'!J163</f>
        <v>0.642857142857143</v>
      </c>
      <c r="F10" s="15" t="n">
        <f aca="false">'All Seasons'!K163</f>
        <v>1684.4</v>
      </c>
      <c r="G10" s="20" t="n">
        <f aca="false">'All Seasons'!L163</f>
        <v>120.314285714286</v>
      </c>
      <c r="H10" s="12" t="n">
        <f aca="false">'All Seasons'!M163</f>
        <v>1</v>
      </c>
      <c r="I10" s="12" t="n">
        <f aca="false">'All Seasons'!N163</f>
        <v>3</v>
      </c>
      <c r="J10" s="12" t="str">
        <f aca="false">IF('All Seasons'!O163=1,"YES","-")</f>
        <v>YES</v>
      </c>
    </row>
    <row r="11" customFormat="false" ht="15" hidden="false" customHeight="false" outlineLevel="0" collapsed="false">
      <c r="A11" s="12" t="n">
        <f aca="false">'All Seasons'!B164</f>
        <v>7</v>
      </c>
      <c r="B11" s="13" t="str">
        <f aca="false">'All Seasons'!C164</f>
        <v>RedNecks</v>
      </c>
      <c r="C11" s="13" t="str">
        <f aca="false">'All Seasons'!D164</f>
        <v>Jim</v>
      </c>
      <c r="D11" s="12" t="str">
        <f aca="false">'All Seasons'!I164</f>
        <v>6-8-0</v>
      </c>
      <c r="E11" s="19" t="n">
        <f aca="false">'All Seasons'!J164</f>
        <v>0.428571428571429</v>
      </c>
      <c r="F11" s="15" t="n">
        <f aca="false">'All Seasons'!K164</f>
        <v>1480.24</v>
      </c>
      <c r="G11" s="20" t="n">
        <f aca="false">'All Seasons'!L164</f>
        <v>105.731428571429</v>
      </c>
      <c r="H11" s="12" t="n">
        <f aca="false">'All Seasons'!M164</f>
        <v>8</v>
      </c>
      <c r="I11" s="12" t="n">
        <f aca="false">'All Seasons'!N164</f>
        <v>8</v>
      </c>
      <c r="J11" s="12" t="str">
        <f aca="false">IF('All Seasons'!O164=1,"YES","-")</f>
        <v>-</v>
      </c>
    </row>
    <row r="12" customFormat="false" ht="15" hidden="false" customHeight="false" outlineLevel="0" collapsed="false">
      <c r="A12" s="12" t="n">
        <f aca="false">'All Seasons'!B165</f>
        <v>8</v>
      </c>
      <c r="B12" s="13" t="str">
        <f aca="false">'All Seasons'!C165</f>
        <v>Hold My Beer</v>
      </c>
      <c r="C12" s="13" t="str">
        <f aca="false">'All Seasons'!D165</f>
        <v>J</v>
      </c>
      <c r="D12" s="12" t="str">
        <f aca="false">'All Seasons'!I165</f>
        <v>6-8-0</v>
      </c>
      <c r="E12" s="19" t="n">
        <f aca="false">'All Seasons'!J165</f>
        <v>0.428571428571429</v>
      </c>
      <c r="F12" s="15" t="n">
        <f aca="false">'All Seasons'!K165</f>
        <v>1594.5</v>
      </c>
      <c r="G12" s="20" t="n">
        <f aca="false">'All Seasons'!L165</f>
        <v>113.892857142857</v>
      </c>
      <c r="H12" s="12" t="n">
        <f aca="false">'All Seasons'!M165</f>
        <v>3</v>
      </c>
      <c r="I12" s="12" t="n">
        <f aca="false">'All Seasons'!N165</f>
        <v>9</v>
      </c>
      <c r="J12" s="12" t="str">
        <f aca="false">IF('All Seasons'!O165=1,"YES","-")</f>
        <v>-</v>
      </c>
    </row>
    <row r="13" customFormat="false" ht="15" hidden="false" customHeight="false" outlineLevel="0" collapsed="false">
      <c r="A13" s="12" t="n">
        <f aca="false">'All Seasons'!B166</f>
        <v>9</v>
      </c>
      <c r="B13" s="13" t="str">
        <f aca="false">'All Seasons'!C166</f>
        <v>Donkey Punchers</v>
      </c>
      <c r="C13" s="13" t="str">
        <f aca="false">'All Seasons'!D166</f>
        <v>Barrett</v>
      </c>
      <c r="D13" s="12" t="str">
        <f aca="false">'All Seasons'!I166</f>
        <v>8-6-0</v>
      </c>
      <c r="E13" s="19" t="n">
        <f aca="false">'All Seasons'!J166</f>
        <v>0.571428571428571</v>
      </c>
      <c r="F13" s="15" t="n">
        <f aca="false">'All Seasons'!K166</f>
        <v>1586.18</v>
      </c>
      <c r="G13" s="20" t="n">
        <f aca="false">'All Seasons'!L166</f>
        <v>113.298571428571</v>
      </c>
      <c r="H13" s="12" t="n">
        <f aca="false">'All Seasons'!M166</f>
        <v>5</v>
      </c>
      <c r="I13" s="12" t="n">
        <f aca="false">'All Seasons'!N166</f>
        <v>5</v>
      </c>
      <c r="J13" s="12" t="str">
        <f aca="false">IF('All Seasons'!O166=1,"YES","-")</f>
        <v>YES</v>
      </c>
    </row>
    <row r="14" customFormat="false" ht="15" hidden="false" customHeight="false" outlineLevel="0" collapsed="false">
      <c r="A14" s="12" t="n">
        <f aca="false">'All Seasons'!B167</f>
        <v>10</v>
      </c>
      <c r="B14" s="13" t="str">
        <f aca="false">'All Seasons'!C167</f>
        <v>Going Postal</v>
      </c>
      <c r="C14" s="13" t="str">
        <f aca="false">'All Seasons'!D167</f>
        <v>Steve</v>
      </c>
      <c r="D14" s="12" t="str">
        <f aca="false">'All Seasons'!I167</f>
        <v>7-7-0</v>
      </c>
      <c r="E14" s="19" t="n">
        <f aca="false">'All Seasons'!J167</f>
        <v>0.5</v>
      </c>
      <c r="F14" s="15" t="n">
        <f aca="false">'All Seasons'!K167</f>
        <v>1319.9</v>
      </c>
      <c r="G14" s="20" t="n">
        <f aca="false">'All Seasons'!L167</f>
        <v>94.2785714285714</v>
      </c>
      <c r="H14" s="12" t="n">
        <f aca="false">'All Seasons'!M167</f>
        <v>10</v>
      </c>
      <c r="I14" s="12" t="n">
        <f aca="false">'All Seasons'!N167</f>
        <v>7</v>
      </c>
      <c r="J14" s="12" t="str">
        <f aca="false">IF('All Seasons'!O167=1,"YES","-")</f>
        <v>-</v>
      </c>
    </row>
    <row r="15" customFormat="false" ht="15" hidden="false" customHeight="false" outlineLevel="0" collapsed="false">
      <c r="A15" s="12" t="n">
        <f aca="false">'All Seasons'!B168</f>
        <v>11</v>
      </c>
      <c r="B15" s="13" t="str">
        <f aca="false">'All Seasons'!C168</f>
        <v>PappyVanDrinkle</v>
      </c>
      <c r="C15" s="13" t="str">
        <f aca="false">'All Seasons'!D168</f>
        <v>Jace</v>
      </c>
      <c r="D15" s="12" t="str">
        <f aca="false">'All Seasons'!I168</f>
        <v>8-6-0</v>
      </c>
      <c r="E15" s="19" t="n">
        <f aca="false">'All Seasons'!J168</f>
        <v>0.571428571428571</v>
      </c>
      <c r="F15" s="15" t="n">
        <f aca="false">'All Seasons'!K168</f>
        <v>1588.32</v>
      </c>
      <c r="G15" s="20" t="n">
        <f aca="false">'All Seasons'!L168</f>
        <v>113.451428571429</v>
      </c>
      <c r="H15" s="12" t="n">
        <f aca="false">'All Seasons'!M168</f>
        <v>4</v>
      </c>
      <c r="I15" s="12" t="n">
        <f aca="false">'All Seasons'!N168</f>
        <v>6</v>
      </c>
      <c r="J15" s="12" t="str">
        <f aca="false">IF('All Seasons'!O168=1,"YES","-")</f>
        <v>YES</v>
      </c>
    </row>
    <row r="16" customFormat="false" ht="15" hidden="false" customHeight="false" outlineLevel="0" collapsed="false">
      <c r="A16" s="12" t="n">
        <f aca="false">'All Seasons'!B169</f>
        <v>12</v>
      </c>
      <c r="B16" s="13" t="str">
        <f aca="false">'All Seasons'!C169</f>
        <v>Closer</v>
      </c>
      <c r="C16" s="13" t="str">
        <f aca="false">'All Seasons'!D169</f>
        <v>Rick</v>
      </c>
      <c r="D16" s="12" t="str">
        <f aca="false">'All Seasons'!I169</f>
        <v>6-8-0</v>
      </c>
      <c r="E16" s="19" t="n">
        <f aca="false">'All Seasons'!J169</f>
        <v>0.428571428571429</v>
      </c>
      <c r="F16" s="15" t="n">
        <f aca="false">'All Seasons'!K169</f>
        <v>1280.08</v>
      </c>
      <c r="G16" s="20" t="n">
        <f aca="false">'All Seasons'!L169</f>
        <v>91.4342857142857</v>
      </c>
      <c r="H16" s="12" t="n">
        <f aca="false">'All Seasons'!M169</f>
        <v>11</v>
      </c>
      <c r="I16" s="12" t="n">
        <f aca="false">'All Seasons'!N169</f>
        <v>12</v>
      </c>
      <c r="J16" s="12" t="str">
        <f aca="false">IF('All Seasons'!O169=1,"YES","-")</f>
        <v>-</v>
      </c>
    </row>
    <row r="17" customFormat="false" ht="15" hidden="false" customHeight="false" outlineLevel="0" collapsed="false">
      <c r="B17" s="21" t="s">
        <v>116</v>
      </c>
      <c r="E17" s="22" t="n">
        <f aca="false">AVERAGE(E5:E16)</f>
        <v>0.5</v>
      </c>
      <c r="F17" s="23" t="n">
        <f aca="false">SUM(F5:F16)</f>
        <v>17845.32</v>
      </c>
      <c r="G17" s="24" t="n">
        <f aca="false">AVERAGE(G5:G16)</f>
        <v>106.222142857143</v>
      </c>
    </row>
    <row r="19" customFormat="false" ht="15" hidden="false" customHeight="false" outlineLevel="0" collapsed="false">
      <c r="A19" s="25" t="s">
        <v>117</v>
      </c>
    </row>
    <row r="20" customFormat="false" ht="15" hidden="false" customHeight="false" outlineLevel="0" collapsed="false">
      <c r="A20" s="3" t="s">
        <v>18</v>
      </c>
      <c r="C20" s="26" t="n">
        <f aca="false">CORREL($A$5:$A$16,E5:E16)</f>
        <v>0.177393718796725</v>
      </c>
    </row>
    <row r="21" customFormat="false" ht="15" hidden="false" customHeight="false" outlineLevel="0" collapsed="false">
      <c r="A21" s="3" t="s">
        <v>22</v>
      </c>
      <c r="C21" s="26" t="n">
        <f aca="false">CORREL($A$5:$A$16,G5:G16)</f>
        <v>0.0157960321897139</v>
      </c>
    </row>
    <row r="22" customFormat="false" ht="15" hidden="false" customHeight="false" outlineLevel="0" collapsed="false">
      <c r="A22" s="3" t="s">
        <v>118</v>
      </c>
      <c r="C22" s="26" t="n">
        <f aca="false">CORREL($A$5:$A$16,H5:H16)</f>
        <v>0.00699300699300699</v>
      </c>
    </row>
    <row r="23" customFormat="false" ht="15" hidden="false" customHeight="false" outlineLevel="0" collapsed="false">
      <c r="A23" s="3" t="s">
        <v>119</v>
      </c>
      <c r="C23" s="26" t="n">
        <f aca="false">CORREL($A$5:$A$16,I5:I16)</f>
        <v>0.300699300699301</v>
      </c>
    </row>
    <row r="24" customFormat="false" ht="15" hidden="false" customHeight="false" outlineLevel="0" collapsed="false">
      <c r="A24" s="2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7" t="s">
        <v>135</v>
      </c>
    </row>
    <row r="2" customFormat="false" ht="15" hidden="false" customHeight="false" outlineLevel="0" collapsed="false">
      <c r="A2" s="18" t="s">
        <v>131</v>
      </c>
    </row>
    <row r="4" customFormat="false" ht="15" hidden="false" customHeight="false" outlineLevel="0" collapsed="false">
      <c r="A4" s="6" t="s">
        <v>16</v>
      </c>
      <c r="B4" s="6" t="s">
        <v>44</v>
      </c>
      <c r="C4" s="6" t="s">
        <v>45</v>
      </c>
      <c r="D4" s="6" t="s">
        <v>50</v>
      </c>
      <c r="E4" s="6" t="s">
        <v>18</v>
      </c>
      <c r="F4" s="6" t="s">
        <v>20</v>
      </c>
      <c r="G4" s="6" t="s">
        <v>22</v>
      </c>
      <c r="H4" s="6" t="s">
        <v>24</v>
      </c>
      <c r="I4" s="6" t="s">
        <v>26</v>
      </c>
      <c r="J4" s="6" t="s">
        <v>115</v>
      </c>
    </row>
    <row r="5" customFormat="false" ht="15" hidden="false" customHeight="false" outlineLevel="0" collapsed="false">
      <c r="A5" s="12" t="n">
        <f aca="false">'All Seasons'!B170</f>
        <v>1</v>
      </c>
      <c r="B5" s="13" t="str">
        <f aca="false">'All Seasons'!C170</f>
        <v>Newman</v>
      </c>
      <c r="C5" s="13" t="str">
        <f aca="false">'All Seasons'!D170</f>
        <v>David</v>
      </c>
      <c r="D5" s="12" t="str">
        <f aca="false">'All Seasons'!I170</f>
        <v>8-6-0</v>
      </c>
      <c r="E5" s="19" t="n">
        <f aca="false">'All Seasons'!J170</f>
        <v>0.571428571428571</v>
      </c>
      <c r="F5" s="15" t="n">
        <f aca="false">'All Seasons'!K170</f>
        <v>1461.38</v>
      </c>
      <c r="G5" s="20" t="n">
        <f aca="false">'All Seasons'!L170</f>
        <v>104.384285714286</v>
      </c>
      <c r="H5" s="12" t="n">
        <f aca="false">'All Seasons'!M170</f>
        <v>8</v>
      </c>
      <c r="I5" s="12" t="n">
        <f aca="false">'All Seasons'!N170</f>
        <v>4</v>
      </c>
      <c r="J5" s="12" t="str">
        <f aca="false">IF('All Seasons'!O170=1,"YES","-")</f>
        <v>YES</v>
      </c>
    </row>
    <row r="6" customFormat="false" ht="15" hidden="false" customHeight="false" outlineLevel="0" collapsed="false">
      <c r="A6" s="12" t="n">
        <f aca="false">'All Seasons'!B171</f>
        <v>2</v>
      </c>
      <c r="B6" s="13" t="str">
        <f aca="false">'All Seasons'!C171</f>
        <v>Hold My Beer</v>
      </c>
      <c r="C6" s="13" t="str">
        <f aca="false">'All Seasons'!D171</f>
        <v>J</v>
      </c>
      <c r="D6" s="12" t="str">
        <f aca="false">'All Seasons'!I171</f>
        <v>9-5-0</v>
      </c>
      <c r="E6" s="19" t="n">
        <f aca="false">'All Seasons'!J171</f>
        <v>0.642857142857143</v>
      </c>
      <c r="F6" s="15" t="n">
        <f aca="false">'All Seasons'!K171</f>
        <v>1694.06</v>
      </c>
      <c r="G6" s="20" t="n">
        <f aca="false">'All Seasons'!L171</f>
        <v>121.004285714286</v>
      </c>
      <c r="H6" s="12" t="n">
        <f aca="false">'All Seasons'!M171</f>
        <v>1</v>
      </c>
      <c r="I6" s="12" t="n">
        <f aca="false">'All Seasons'!N171</f>
        <v>1</v>
      </c>
      <c r="J6" s="12" t="str">
        <f aca="false">IF('All Seasons'!O171=1,"YES","-")</f>
        <v>YES</v>
      </c>
    </row>
    <row r="7" customFormat="false" ht="15" hidden="false" customHeight="false" outlineLevel="0" collapsed="false">
      <c r="A7" s="12" t="n">
        <f aca="false">'All Seasons'!B172</f>
        <v>3</v>
      </c>
      <c r="B7" s="13" t="str">
        <f aca="false">'All Seasons'!C172</f>
        <v>Scott's Scabs</v>
      </c>
      <c r="C7" s="13" t="str">
        <f aca="false">'All Seasons'!D172</f>
        <v>Scott</v>
      </c>
      <c r="D7" s="12" t="str">
        <f aca="false">'All Seasons'!I172</f>
        <v>6-8-0</v>
      </c>
      <c r="E7" s="19" t="n">
        <f aca="false">'All Seasons'!J172</f>
        <v>0.428571428571429</v>
      </c>
      <c r="F7" s="15" t="n">
        <f aca="false">'All Seasons'!K172</f>
        <v>1383.86</v>
      </c>
      <c r="G7" s="20" t="n">
        <f aca="false">'All Seasons'!L172</f>
        <v>98.8471428571429</v>
      </c>
      <c r="H7" s="12" t="n">
        <f aca="false">'All Seasons'!M172</f>
        <v>10</v>
      </c>
      <c r="I7" s="12" t="n">
        <f aca="false">'All Seasons'!N172</f>
        <v>8</v>
      </c>
      <c r="J7" s="12" t="str">
        <f aca="false">IF('All Seasons'!O172=1,"YES","-")</f>
        <v>-</v>
      </c>
    </row>
    <row r="8" customFormat="false" ht="15" hidden="false" customHeight="false" outlineLevel="0" collapsed="false">
      <c r="A8" s="12" t="n">
        <f aca="false">'All Seasons'!B173</f>
        <v>4</v>
      </c>
      <c r="B8" s="13" t="str">
        <f aca="false">'All Seasons'!C173</f>
        <v>Baba Yaga</v>
      </c>
      <c r="C8" s="13" t="str">
        <f aca="false">'All Seasons'!D173</f>
        <v>Glen</v>
      </c>
      <c r="D8" s="12" t="str">
        <f aca="false">'All Seasons'!I173</f>
        <v>7-7-0</v>
      </c>
      <c r="E8" s="19" t="n">
        <f aca="false">'All Seasons'!J173</f>
        <v>0.5</v>
      </c>
      <c r="F8" s="15" t="n">
        <f aca="false">'All Seasons'!K173</f>
        <v>1535.74</v>
      </c>
      <c r="G8" s="20" t="n">
        <f aca="false">'All Seasons'!L173</f>
        <v>109.695714285714</v>
      </c>
      <c r="H8" s="12" t="n">
        <f aca="false">'All Seasons'!M173</f>
        <v>3</v>
      </c>
      <c r="I8" s="12" t="n">
        <f aca="false">'All Seasons'!N173</f>
        <v>6</v>
      </c>
      <c r="J8" s="12" t="str">
        <f aca="false">IF('All Seasons'!O173=1,"YES","-")</f>
        <v>YES</v>
      </c>
    </row>
    <row r="9" customFormat="false" ht="15" hidden="false" customHeight="false" outlineLevel="0" collapsed="false">
      <c r="A9" s="12" t="n">
        <f aca="false">'All Seasons'!B174</f>
        <v>5</v>
      </c>
      <c r="B9" s="13" t="str">
        <f aca="false">'All Seasons'!C174</f>
        <v>Donkey Punchers</v>
      </c>
      <c r="C9" s="13" t="str">
        <f aca="false">'All Seasons'!D174</f>
        <v>Barrett</v>
      </c>
      <c r="D9" s="12" t="str">
        <f aca="false">'All Seasons'!I174</f>
        <v>6-8-0</v>
      </c>
      <c r="E9" s="19" t="n">
        <f aca="false">'All Seasons'!J174</f>
        <v>0.428571428571429</v>
      </c>
      <c r="F9" s="15" t="n">
        <f aca="false">'All Seasons'!K174</f>
        <v>1364.26</v>
      </c>
      <c r="G9" s="20" t="n">
        <f aca="false">'All Seasons'!L174</f>
        <v>97.4471428571429</v>
      </c>
      <c r="H9" s="12" t="n">
        <f aca="false">'All Seasons'!M174</f>
        <v>11</v>
      </c>
      <c r="I9" s="12" t="n">
        <f aca="false">'All Seasons'!N174</f>
        <v>12</v>
      </c>
      <c r="J9" s="12" t="str">
        <f aca="false">IF('All Seasons'!O174=1,"YES","-")</f>
        <v>-</v>
      </c>
    </row>
    <row r="10" customFormat="false" ht="15" hidden="false" customHeight="false" outlineLevel="0" collapsed="false">
      <c r="A10" s="12" t="n">
        <f aca="false">'All Seasons'!B175</f>
        <v>6</v>
      </c>
      <c r="B10" s="13" t="str">
        <f aca="false">'All Seasons'!C175</f>
        <v>RedNecks</v>
      </c>
      <c r="C10" s="13" t="str">
        <f aca="false">'All Seasons'!D175</f>
        <v>Jim</v>
      </c>
      <c r="D10" s="12" t="str">
        <f aca="false">'All Seasons'!I175</f>
        <v>8-6-0</v>
      </c>
      <c r="E10" s="19" t="n">
        <f aca="false">'All Seasons'!J175</f>
        <v>0.571428571428571</v>
      </c>
      <c r="F10" s="15" t="n">
        <f aca="false">'All Seasons'!K175</f>
        <v>1507.04</v>
      </c>
      <c r="G10" s="20" t="n">
        <f aca="false">'All Seasons'!L175</f>
        <v>107.645714285714</v>
      </c>
      <c r="H10" s="12" t="n">
        <f aca="false">'All Seasons'!M175</f>
        <v>5</v>
      </c>
      <c r="I10" s="12" t="n">
        <f aca="false">'All Seasons'!N175</f>
        <v>3</v>
      </c>
      <c r="J10" s="12" t="str">
        <f aca="false">IF('All Seasons'!O175=1,"YES","-")</f>
        <v>YES</v>
      </c>
    </row>
    <row r="11" customFormat="false" ht="15" hidden="false" customHeight="false" outlineLevel="0" collapsed="false">
      <c r="A11" s="12" t="n">
        <f aca="false">'All Seasons'!B176</f>
        <v>7</v>
      </c>
      <c r="B11" s="13" t="str">
        <f aca="false">'All Seasons'!C176</f>
        <v>Closer</v>
      </c>
      <c r="C11" s="13" t="str">
        <f aca="false">'All Seasons'!D176</f>
        <v>Rick</v>
      </c>
      <c r="D11" s="12" t="str">
        <f aca="false">'All Seasons'!I176</f>
        <v>7-7-0</v>
      </c>
      <c r="E11" s="19" t="n">
        <f aca="false">'All Seasons'!J176</f>
        <v>0.5</v>
      </c>
      <c r="F11" s="15" t="n">
        <f aca="false">'All Seasons'!K176</f>
        <v>1509.52</v>
      </c>
      <c r="G11" s="20" t="n">
        <f aca="false">'All Seasons'!L176</f>
        <v>107.822857142857</v>
      </c>
      <c r="H11" s="12" t="n">
        <f aca="false">'All Seasons'!M176</f>
        <v>4</v>
      </c>
      <c r="I11" s="12" t="n">
        <f aca="false">'All Seasons'!N176</f>
        <v>9</v>
      </c>
      <c r="J11" s="12" t="str">
        <f aca="false">IF('All Seasons'!O176=1,"YES","-")</f>
        <v>-</v>
      </c>
    </row>
    <row r="12" customFormat="false" ht="15" hidden="false" customHeight="false" outlineLevel="0" collapsed="false">
      <c r="A12" s="12" t="n">
        <f aca="false">'All Seasons'!B177</f>
        <v>8</v>
      </c>
      <c r="B12" s="13" t="str">
        <f aca="false">'All Seasons'!C177</f>
        <v>Broken Rhules</v>
      </c>
      <c r="C12" s="13" t="str">
        <f aca="false">'All Seasons'!D177</f>
        <v>Cory</v>
      </c>
      <c r="D12" s="12" t="str">
        <f aca="false">'All Seasons'!I177</f>
        <v>6-8-0</v>
      </c>
      <c r="E12" s="19" t="n">
        <f aca="false">'All Seasons'!J177</f>
        <v>0.428571428571429</v>
      </c>
      <c r="F12" s="15" t="n">
        <f aca="false">'All Seasons'!K177</f>
        <v>1487.42</v>
      </c>
      <c r="G12" s="20" t="n">
        <f aca="false">'All Seasons'!L177</f>
        <v>106.244285714286</v>
      </c>
      <c r="H12" s="12" t="n">
        <f aca="false">'All Seasons'!M177</f>
        <v>7</v>
      </c>
      <c r="I12" s="12" t="n">
        <f aca="false">'All Seasons'!N177</f>
        <v>7</v>
      </c>
      <c r="J12" s="12" t="str">
        <f aca="false">IF('All Seasons'!O177=1,"YES","-")</f>
        <v>-</v>
      </c>
    </row>
    <row r="13" customFormat="false" ht="15" hidden="false" customHeight="false" outlineLevel="0" collapsed="false">
      <c r="A13" s="12" t="n">
        <f aca="false">'All Seasons'!B178</f>
        <v>9</v>
      </c>
      <c r="B13" s="13" t="str">
        <f aca="false">'All Seasons'!C178</f>
        <v>Unemployeeofthemonth</v>
      </c>
      <c r="C13" s="13" t="str">
        <f aca="false">'All Seasons'!D178</f>
        <v>Jace</v>
      </c>
      <c r="D13" s="12" t="str">
        <f aca="false">'All Seasons'!I178</f>
        <v>4-10-0</v>
      </c>
      <c r="E13" s="19" t="n">
        <f aca="false">'All Seasons'!J178</f>
        <v>0.285714285714286</v>
      </c>
      <c r="F13" s="15" t="n">
        <f aca="false">'All Seasons'!K178</f>
        <v>1301.54</v>
      </c>
      <c r="G13" s="20" t="n">
        <f aca="false">'All Seasons'!L178</f>
        <v>92.9671428571429</v>
      </c>
      <c r="H13" s="12" t="n">
        <f aca="false">'All Seasons'!M178</f>
        <v>12</v>
      </c>
      <c r="I13" s="12" t="n">
        <f aca="false">'All Seasons'!N178</f>
        <v>11</v>
      </c>
      <c r="J13" s="12" t="str">
        <f aca="false">IF('All Seasons'!O178=1,"YES","-")</f>
        <v>-</v>
      </c>
    </row>
    <row r="14" customFormat="false" ht="15" hidden="false" customHeight="false" outlineLevel="0" collapsed="false">
      <c r="A14" s="12" t="n">
        <f aca="false">'All Seasons'!B179</f>
        <v>10</v>
      </c>
      <c r="B14" s="13" t="str">
        <f aca="false">'All Seasons'!C179</f>
        <v>AssKickers</v>
      </c>
      <c r="C14" s="13" t="str">
        <f aca="false">'All Seasons'!D179</f>
        <v>Rob M</v>
      </c>
      <c r="D14" s="12" t="str">
        <f aca="false">'All Seasons'!I179</f>
        <v>7-7-0</v>
      </c>
      <c r="E14" s="19" t="n">
        <f aca="false">'All Seasons'!J179</f>
        <v>0.5</v>
      </c>
      <c r="F14" s="15" t="n">
        <f aca="false">'All Seasons'!K179</f>
        <v>1396.18</v>
      </c>
      <c r="G14" s="20" t="n">
        <f aca="false">'All Seasons'!L179</f>
        <v>99.7271428571429</v>
      </c>
      <c r="H14" s="12" t="n">
        <f aca="false">'All Seasons'!M179</f>
        <v>9</v>
      </c>
      <c r="I14" s="12" t="n">
        <f aca="false">'All Seasons'!N179</f>
        <v>10</v>
      </c>
      <c r="J14" s="12" t="str">
        <f aca="false">IF('All Seasons'!O179=1,"YES","-")</f>
        <v>-</v>
      </c>
    </row>
    <row r="15" customFormat="false" ht="15" hidden="false" customHeight="false" outlineLevel="0" collapsed="false">
      <c r="A15" s="12" t="n">
        <f aca="false">'All Seasons'!B180</f>
        <v>11</v>
      </c>
      <c r="B15" s="13" t="str">
        <f aca="false">'All Seasons'!C180</f>
        <v>Donny's Pedo Protectors</v>
      </c>
      <c r="C15" s="13" t="str">
        <f aca="false">'All Seasons'!D180</f>
        <v>Brian C</v>
      </c>
      <c r="D15" s="12" t="str">
        <f aca="false">'All Seasons'!I180</f>
        <v>8-6-0</v>
      </c>
      <c r="E15" s="19" t="n">
        <f aca="false">'All Seasons'!J180</f>
        <v>0.571428571428571</v>
      </c>
      <c r="F15" s="15" t="n">
        <f aca="false">'All Seasons'!K180</f>
        <v>1539.98</v>
      </c>
      <c r="G15" s="20" t="n">
        <f aca="false">'All Seasons'!L180</f>
        <v>109.998571428571</v>
      </c>
      <c r="H15" s="12" t="n">
        <f aca="false">'All Seasons'!M180</f>
        <v>2</v>
      </c>
      <c r="I15" s="12" t="n">
        <f aca="false">'All Seasons'!N180</f>
        <v>2</v>
      </c>
      <c r="J15" s="12" t="str">
        <f aca="false">IF('All Seasons'!O180=1,"YES","-")</f>
        <v>YES</v>
      </c>
    </row>
    <row r="16" customFormat="false" ht="15" hidden="false" customHeight="false" outlineLevel="0" collapsed="false">
      <c r="A16" s="12" t="n">
        <f aca="false">'All Seasons'!B181</f>
        <v>12</v>
      </c>
      <c r="B16" s="13" t="str">
        <f aca="false">'All Seasons'!C181</f>
        <v>RedZone480</v>
      </c>
      <c r="C16" s="13" t="str">
        <f aca="false">'All Seasons'!D181</f>
        <v>Robert</v>
      </c>
      <c r="D16" s="12" t="str">
        <f aca="false">'All Seasons'!I181</f>
        <v>8-6-0</v>
      </c>
      <c r="E16" s="19" t="n">
        <f aca="false">'All Seasons'!J181</f>
        <v>0.571428571428571</v>
      </c>
      <c r="F16" s="15" t="n">
        <f aca="false">'All Seasons'!K181</f>
        <v>1494.82</v>
      </c>
      <c r="G16" s="20" t="n">
        <f aca="false">'All Seasons'!L181</f>
        <v>106.772857142857</v>
      </c>
      <c r="H16" s="12" t="n">
        <f aca="false">'All Seasons'!M181</f>
        <v>6</v>
      </c>
      <c r="I16" s="12" t="n">
        <f aca="false">'All Seasons'!N181</f>
        <v>5</v>
      </c>
      <c r="J16" s="12" t="str">
        <f aca="false">IF('All Seasons'!O181=1,"YES","-")</f>
        <v>YES</v>
      </c>
    </row>
    <row r="17" customFormat="false" ht="15" hidden="false" customHeight="false" outlineLevel="0" collapsed="false">
      <c r="B17" s="21" t="s">
        <v>116</v>
      </c>
      <c r="E17" s="22" t="n">
        <f aca="false">AVERAGE(E5:E16)</f>
        <v>0.5</v>
      </c>
      <c r="F17" s="23" t="n">
        <f aca="false">SUM(F5:F16)</f>
        <v>17675.8</v>
      </c>
      <c r="G17" s="24" t="n">
        <f aca="false">AVERAGE(G5:G16)</f>
        <v>105.213095238095</v>
      </c>
    </row>
    <row r="19" customFormat="false" ht="15" hidden="false" customHeight="false" outlineLevel="0" collapsed="false">
      <c r="A19" s="25" t="s">
        <v>117</v>
      </c>
    </row>
    <row r="20" customFormat="false" ht="15" hidden="false" customHeight="false" outlineLevel="0" collapsed="false">
      <c r="A20" s="3" t="s">
        <v>18</v>
      </c>
      <c r="C20" s="26" t="n">
        <f aca="false">CORREL($A$5:$A$16,E5:E16)</f>
        <v>-0.168290458201522</v>
      </c>
    </row>
    <row r="21" customFormat="false" ht="15" hidden="false" customHeight="false" outlineLevel="0" collapsed="false">
      <c r="A21" s="3" t="s">
        <v>22</v>
      </c>
      <c r="C21" s="26" t="n">
        <f aca="false">CORREL($A$5:$A$16,G5:G16)</f>
        <v>-0.212890280160901</v>
      </c>
    </row>
    <row r="22" customFormat="false" ht="15" hidden="false" customHeight="false" outlineLevel="0" collapsed="false">
      <c r="A22" s="3" t="s">
        <v>118</v>
      </c>
      <c r="C22" s="26" t="n">
        <f aca="false">CORREL($A$5:$A$16,H5:H16)</f>
        <v>0.041958041958042</v>
      </c>
    </row>
    <row r="23" customFormat="false" ht="15" hidden="false" customHeight="false" outlineLevel="0" collapsed="false">
      <c r="A23" s="3" t="s">
        <v>119</v>
      </c>
      <c r="C23" s="26" t="n">
        <f aca="false">CORREL($A$5:$A$16,I5:I16)</f>
        <v>0.174825174825175</v>
      </c>
    </row>
    <row r="24" customFormat="false" ht="15" hidden="false" customHeight="false" outlineLevel="0" collapsed="false">
      <c r="A24" s="2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8"/>
    <col collapsed="false" customWidth="true" hidden="false" outlineLevel="0" max="12" min="12" style="0" width="13"/>
  </cols>
  <sheetData>
    <row r="1" customFormat="false" ht="16.15" hidden="false" customHeight="false" outlineLevel="0" collapsed="false">
      <c r="A1" s="17" t="s">
        <v>136</v>
      </c>
    </row>
    <row r="2" customFormat="false" ht="15" hidden="false" customHeight="false" outlineLevel="0" collapsed="false">
      <c r="A2" s="18" t="s">
        <v>137</v>
      </c>
    </row>
    <row r="4" customFormat="false" ht="23.85" hidden="false" customHeight="false" outlineLevel="0" collapsed="false">
      <c r="A4" s="6" t="s">
        <v>16</v>
      </c>
      <c r="B4" s="6" t="s">
        <v>138</v>
      </c>
      <c r="C4" s="6" t="s">
        <v>139</v>
      </c>
      <c r="D4" s="6" t="s">
        <v>140</v>
      </c>
      <c r="E4" s="6" t="s">
        <v>141</v>
      </c>
      <c r="F4" s="6" t="s">
        <v>142</v>
      </c>
      <c r="G4" s="6" t="s">
        <v>143</v>
      </c>
      <c r="H4" s="6" t="s">
        <v>144</v>
      </c>
      <c r="I4" s="6" t="s">
        <v>145</v>
      </c>
      <c r="J4" s="6" t="s">
        <v>146</v>
      </c>
      <c r="K4" s="6" t="s">
        <v>147</v>
      </c>
      <c r="L4" s="6" t="s">
        <v>148</v>
      </c>
    </row>
    <row r="5" customFormat="false" ht="15" hidden="false" customHeight="false" outlineLevel="0" collapsed="false">
      <c r="A5" s="12" t="n">
        <v>1</v>
      </c>
      <c r="B5" s="12" t="n">
        <f aca="false">COUNTIF('All Seasons'!$B$2:$B$181,A5)</f>
        <v>15</v>
      </c>
      <c r="C5" s="19" t="n">
        <f aca="false">AVERAGEIF('All Seasons'!$B$2:$B$181,A5,'All Seasons'!$J$2:$J$181)</f>
        <v>0.501098901098901</v>
      </c>
      <c r="D5" s="28" t="n">
        <f aca="false">C5*14</f>
        <v>7.01538461538462</v>
      </c>
      <c r="E5" s="20" t="n">
        <f aca="false">AVERAGEIF('All Seasons'!$B$2:$B$181,A5,'All Seasons'!$L$2:$L$181)</f>
        <v>102.090241758242</v>
      </c>
      <c r="F5" s="28" t="n">
        <f aca="false">AVERAGEIF('All Seasons'!$B$2:$B$181,A5,'All Seasons'!$M$2:$M$181)</f>
        <v>7.26666666666667</v>
      </c>
      <c r="G5" s="28" t="n">
        <f aca="false">AVERAGEIF('All Seasons'!$B$2:$B$181,A5,'All Seasons'!$N$2:$N$181)</f>
        <v>6.4</v>
      </c>
      <c r="H5" s="19" t="n">
        <f aca="false">I5/B5</f>
        <v>0.4</v>
      </c>
      <c r="I5" s="12" t="n">
        <f aca="false">SUMIF('All Seasons'!$B$2:$B$181,A5,'All Seasons'!$O$2:$O$181)</f>
        <v>6</v>
      </c>
      <c r="J5" s="12" t="n">
        <f aca="false">SUMIF('All Seasons'!$B$2:$B$181,A5,'All Seasons'!$P$2:$P$181)</f>
        <v>2</v>
      </c>
      <c r="K5" s="12" t="n">
        <f aca="false">SUMIF('All Seasons'!$B$2:$B$181,A5,'All Seasons'!$Q$2:$Q$181)</f>
        <v>4</v>
      </c>
      <c r="L5" s="12" t="n">
        <f aca="false">SUMIF('All Seasons'!$B$2:$B$181,A5,'All Seasons'!$R$2:$R$181)</f>
        <v>4</v>
      </c>
    </row>
    <row r="6" customFormat="false" ht="15" hidden="false" customHeight="false" outlineLevel="0" collapsed="false">
      <c r="A6" s="12" t="n">
        <v>2</v>
      </c>
      <c r="B6" s="12" t="n">
        <f aca="false">COUNTIF('All Seasons'!$B$2:$B$181,A6)</f>
        <v>15</v>
      </c>
      <c r="C6" s="19" t="n">
        <f aca="false">AVERAGEIF('All Seasons'!$B$2:$B$181,A6,'All Seasons'!$J$2:$J$181)</f>
        <v>0.47985347985348</v>
      </c>
      <c r="D6" s="28" t="n">
        <f aca="false">C6*14</f>
        <v>6.71794871794872</v>
      </c>
      <c r="E6" s="20" t="n">
        <f aca="false">AVERAGEIF('All Seasons'!$B$2:$B$181,A6,'All Seasons'!$L$2:$L$181)</f>
        <v>105.944549450549</v>
      </c>
      <c r="F6" s="28" t="n">
        <f aca="false">AVERAGEIF('All Seasons'!$B$2:$B$181,A6,'All Seasons'!$M$2:$M$181)</f>
        <v>5.73333333333333</v>
      </c>
      <c r="G6" s="28" t="n">
        <f aca="false">AVERAGEIF('All Seasons'!$B$2:$B$181,A6,'All Seasons'!$N$2:$N$181)</f>
        <v>6.33333333333333</v>
      </c>
      <c r="H6" s="19" t="n">
        <f aca="false">I6/B6</f>
        <v>0.4</v>
      </c>
      <c r="I6" s="12" t="n">
        <f aca="false">SUMIF('All Seasons'!$B$2:$B$181,A6,'All Seasons'!$O$2:$O$181)</f>
        <v>6</v>
      </c>
      <c r="J6" s="12" t="n">
        <f aca="false">SUMIF('All Seasons'!$B$2:$B$181,A6,'All Seasons'!$P$2:$P$181)</f>
        <v>2</v>
      </c>
      <c r="K6" s="12" t="n">
        <f aca="false">SUMIF('All Seasons'!$B$2:$B$181,A6,'All Seasons'!$Q$2:$Q$181)</f>
        <v>4</v>
      </c>
      <c r="L6" s="12" t="n">
        <f aca="false">SUMIF('All Seasons'!$B$2:$B$181,A6,'All Seasons'!$R$2:$R$181)</f>
        <v>5</v>
      </c>
    </row>
    <row r="7" customFormat="false" ht="15" hidden="false" customHeight="false" outlineLevel="0" collapsed="false">
      <c r="A7" s="12" t="n">
        <v>3</v>
      </c>
      <c r="B7" s="12" t="n">
        <f aca="false">COUNTIF('All Seasons'!$B$2:$B$181,A7)</f>
        <v>15</v>
      </c>
      <c r="C7" s="19" t="n">
        <f aca="false">AVERAGEIF('All Seasons'!$B$2:$B$181,A7,'All Seasons'!$J$2:$J$181)</f>
        <v>0.565567765567766</v>
      </c>
      <c r="D7" s="28" t="n">
        <f aca="false">C7*14</f>
        <v>7.91794871794872</v>
      </c>
      <c r="E7" s="20" t="n">
        <f aca="false">AVERAGEIF('All Seasons'!$B$2:$B$181,A7,'All Seasons'!$L$2:$L$181)</f>
        <v>108.638014652015</v>
      </c>
      <c r="F7" s="28" t="n">
        <f aca="false">AVERAGEIF('All Seasons'!$B$2:$B$181,A7,'All Seasons'!$M$2:$M$181)</f>
        <v>5.53333333333333</v>
      </c>
      <c r="G7" s="28" t="n">
        <f aca="false">AVERAGEIF('All Seasons'!$B$2:$B$181,A7,'All Seasons'!$N$2:$N$181)</f>
        <v>5.53333333333333</v>
      </c>
      <c r="H7" s="19" t="n">
        <f aca="false">I7/B7</f>
        <v>0.733333333333333</v>
      </c>
      <c r="I7" s="12" t="n">
        <f aca="false">SUMIF('All Seasons'!$B$2:$B$181,A7,'All Seasons'!$O$2:$O$181)</f>
        <v>11</v>
      </c>
      <c r="J7" s="12" t="n">
        <f aca="false">SUMIF('All Seasons'!$B$2:$B$181,A7,'All Seasons'!$P$2:$P$181)</f>
        <v>0</v>
      </c>
      <c r="K7" s="12" t="n">
        <f aca="false">SUMIF('All Seasons'!$B$2:$B$181,A7,'All Seasons'!$Q$2:$Q$181)</f>
        <v>3</v>
      </c>
      <c r="L7" s="12" t="n">
        <f aca="false">SUMIF('All Seasons'!$B$2:$B$181,A7,'All Seasons'!$R$2:$R$181)</f>
        <v>3</v>
      </c>
    </row>
    <row r="8" customFormat="false" ht="15" hidden="false" customHeight="false" outlineLevel="0" collapsed="false">
      <c r="A8" s="12" t="n">
        <v>4</v>
      </c>
      <c r="B8" s="12" t="n">
        <f aca="false">COUNTIF('All Seasons'!$B$2:$B$181,A8)</f>
        <v>15</v>
      </c>
      <c r="C8" s="19" t="n">
        <f aca="false">AVERAGEIF('All Seasons'!$B$2:$B$181,A8,'All Seasons'!$J$2:$J$181)</f>
        <v>0.490476190476191</v>
      </c>
      <c r="D8" s="28" t="n">
        <f aca="false">C8*14</f>
        <v>6.86666666666667</v>
      </c>
      <c r="E8" s="20" t="n">
        <f aca="false">AVERAGEIF('All Seasons'!$B$2:$B$181,A8,'All Seasons'!$L$2:$L$181)</f>
        <v>108.044175824176</v>
      </c>
      <c r="F8" s="28" t="n">
        <f aca="false">AVERAGEIF('All Seasons'!$B$2:$B$181,A8,'All Seasons'!$M$2:$M$181)</f>
        <v>5.66666666666667</v>
      </c>
      <c r="G8" s="28" t="n">
        <f aca="false">AVERAGEIF('All Seasons'!$B$2:$B$181,A8,'All Seasons'!$N$2:$N$181)</f>
        <v>6.4</v>
      </c>
      <c r="H8" s="19" t="n">
        <f aca="false">I8/B8</f>
        <v>0.6</v>
      </c>
      <c r="I8" s="12" t="n">
        <f aca="false">SUMIF('All Seasons'!$B$2:$B$181,A8,'All Seasons'!$O$2:$O$181)</f>
        <v>9</v>
      </c>
      <c r="J8" s="12" t="n">
        <f aca="false">SUMIF('All Seasons'!$B$2:$B$181,A8,'All Seasons'!$P$2:$P$181)</f>
        <v>1</v>
      </c>
      <c r="K8" s="12" t="n">
        <f aca="false">SUMIF('All Seasons'!$B$2:$B$181,A8,'All Seasons'!$Q$2:$Q$181)</f>
        <v>1</v>
      </c>
      <c r="L8" s="12" t="n">
        <f aca="false">SUMIF('All Seasons'!$B$2:$B$181,A8,'All Seasons'!$R$2:$R$181)</f>
        <v>1</v>
      </c>
    </row>
    <row r="9" customFormat="false" ht="15" hidden="false" customHeight="false" outlineLevel="0" collapsed="false">
      <c r="A9" s="12" t="n">
        <v>5</v>
      </c>
      <c r="B9" s="12" t="n">
        <f aca="false">COUNTIF('All Seasons'!$B$2:$B$181,A9)</f>
        <v>15</v>
      </c>
      <c r="C9" s="19" t="n">
        <f aca="false">AVERAGEIF('All Seasons'!$B$2:$B$181,A9,'All Seasons'!$J$2:$J$181)</f>
        <v>0.578388278388278</v>
      </c>
      <c r="D9" s="28" t="n">
        <f aca="false">C9*14</f>
        <v>8.0974358974359</v>
      </c>
      <c r="E9" s="20" t="n">
        <f aca="false">AVERAGEIF('All Seasons'!$B$2:$B$181,A9,'All Seasons'!$L$2:$L$181)</f>
        <v>106.47663003663</v>
      </c>
      <c r="F9" s="28" t="n">
        <f aca="false">AVERAGEIF('All Seasons'!$B$2:$B$181,A9,'All Seasons'!$M$2:$M$181)</f>
        <v>6.26666666666667</v>
      </c>
      <c r="G9" s="28" t="n">
        <f aca="false">AVERAGEIF('All Seasons'!$B$2:$B$181,A9,'All Seasons'!$N$2:$N$181)</f>
        <v>5.86666666666667</v>
      </c>
      <c r="H9" s="19" t="n">
        <f aca="false">I9/B9</f>
        <v>0.666666666666667</v>
      </c>
      <c r="I9" s="12" t="n">
        <f aca="false">SUMIF('All Seasons'!$B$2:$B$181,A9,'All Seasons'!$O$2:$O$181)</f>
        <v>10</v>
      </c>
      <c r="J9" s="12" t="n">
        <f aca="false">SUMIF('All Seasons'!$B$2:$B$181,A9,'All Seasons'!$P$2:$P$181)</f>
        <v>1</v>
      </c>
      <c r="K9" s="12" t="n">
        <f aca="false">SUMIF('All Seasons'!$B$2:$B$181,A9,'All Seasons'!$Q$2:$Q$181)</f>
        <v>2</v>
      </c>
      <c r="L9" s="12" t="n">
        <f aca="false">SUMIF('All Seasons'!$B$2:$B$181,A9,'All Seasons'!$R$2:$R$181)</f>
        <v>5</v>
      </c>
    </row>
    <row r="10" customFormat="false" ht="15" hidden="false" customHeight="false" outlineLevel="0" collapsed="false">
      <c r="A10" s="12" t="n">
        <v>6</v>
      </c>
      <c r="B10" s="12" t="n">
        <f aca="false">COUNTIF('All Seasons'!$B$2:$B$181,A10)</f>
        <v>15</v>
      </c>
      <c r="C10" s="19" t="n">
        <f aca="false">AVERAGEIF('All Seasons'!$B$2:$B$181,A10,'All Seasons'!$J$2:$J$181)</f>
        <v>0.43992673992674</v>
      </c>
      <c r="D10" s="28" t="n">
        <f aca="false">C10*14</f>
        <v>6.15897435897436</v>
      </c>
      <c r="E10" s="20" t="n">
        <f aca="false">AVERAGEIF('All Seasons'!$B$2:$B$181,A10,'All Seasons'!$L$2:$L$181)</f>
        <v>103.849128205128</v>
      </c>
      <c r="F10" s="28" t="n">
        <f aca="false">AVERAGEIF('All Seasons'!$B$2:$B$181,A10,'All Seasons'!$M$2:$M$181)</f>
        <v>6.2</v>
      </c>
      <c r="G10" s="28" t="n">
        <f aca="false">AVERAGEIF('All Seasons'!$B$2:$B$181,A10,'All Seasons'!$N$2:$N$181)</f>
        <v>7.13333333333333</v>
      </c>
      <c r="H10" s="19" t="n">
        <f aca="false">I10/B10</f>
        <v>0.333333333333333</v>
      </c>
      <c r="I10" s="12" t="n">
        <f aca="false">SUMIF('All Seasons'!$B$2:$B$181,A10,'All Seasons'!$O$2:$O$181)</f>
        <v>5</v>
      </c>
      <c r="J10" s="12" t="n">
        <f aca="false">SUMIF('All Seasons'!$B$2:$B$181,A10,'All Seasons'!$P$2:$P$181)</f>
        <v>2</v>
      </c>
      <c r="K10" s="12" t="n">
        <f aca="false">SUMIF('All Seasons'!$B$2:$B$181,A10,'All Seasons'!$Q$2:$Q$181)</f>
        <v>2</v>
      </c>
      <c r="L10" s="12" t="n">
        <f aca="false">SUMIF('All Seasons'!$B$2:$B$181,A10,'All Seasons'!$R$2:$R$181)</f>
        <v>4</v>
      </c>
    </row>
    <row r="11" customFormat="false" ht="15" hidden="false" customHeight="false" outlineLevel="0" collapsed="false">
      <c r="A11" s="12" t="n">
        <v>7</v>
      </c>
      <c r="B11" s="12" t="n">
        <f aca="false">COUNTIF('All Seasons'!$B$2:$B$181,A11)</f>
        <v>15</v>
      </c>
      <c r="C11" s="19" t="n">
        <f aca="false">AVERAGEIF('All Seasons'!$B$2:$B$181,A11,'All Seasons'!$J$2:$J$181)</f>
        <v>0.392673992673993</v>
      </c>
      <c r="D11" s="28" t="n">
        <f aca="false">C11*14</f>
        <v>5.4974358974359</v>
      </c>
      <c r="E11" s="20" t="n">
        <f aca="false">AVERAGEIF('All Seasons'!$B$2:$B$181,A11,'All Seasons'!$L$2:$L$181)</f>
        <v>100.65843956044</v>
      </c>
      <c r="F11" s="28" t="n">
        <f aca="false">AVERAGEIF('All Seasons'!$B$2:$B$181,A11,'All Seasons'!$M$2:$M$181)</f>
        <v>8.06666666666667</v>
      </c>
      <c r="G11" s="28" t="n">
        <f aca="false">AVERAGEIF('All Seasons'!$B$2:$B$181,A11,'All Seasons'!$N$2:$N$181)</f>
        <v>8.73333333333333</v>
      </c>
      <c r="H11" s="19" t="n">
        <f aca="false">I11/B11</f>
        <v>0.133333333333333</v>
      </c>
      <c r="I11" s="12" t="n">
        <f aca="false">SUMIF('All Seasons'!$B$2:$B$181,A11,'All Seasons'!$O$2:$O$181)</f>
        <v>2</v>
      </c>
      <c r="J11" s="12" t="n">
        <f aca="false">SUMIF('All Seasons'!$B$2:$B$181,A11,'All Seasons'!$P$2:$P$181)</f>
        <v>0</v>
      </c>
      <c r="K11" s="12" t="n">
        <f aca="false">SUMIF('All Seasons'!$B$2:$B$181,A11,'All Seasons'!$Q$2:$Q$181)</f>
        <v>0</v>
      </c>
      <c r="L11" s="12" t="n">
        <f aca="false">SUMIF('All Seasons'!$B$2:$B$181,A11,'All Seasons'!$R$2:$R$181)</f>
        <v>1</v>
      </c>
    </row>
    <row r="12" customFormat="false" ht="15" hidden="false" customHeight="false" outlineLevel="0" collapsed="false">
      <c r="A12" s="12" t="n">
        <v>8</v>
      </c>
      <c r="B12" s="12" t="n">
        <f aca="false">COUNTIF('All Seasons'!$B$2:$B$181,A12)</f>
        <v>15</v>
      </c>
      <c r="C12" s="19" t="n">
        <f aca="false">AVERAGEIF('All Seasons'!$B$2:$B$181,A12,'All Seasons'!$J$2:$J$181)</f>
        <v>0.513919413919414</v>
      </c>
      <c r="D12" s="28" t="n">
        <f aca="false">C12*14</f>
        <v>7.1948717948718</v>
      </c>
      <c r="E12" s="20" t="n">
        <f aca="false">AVERAGEIF('All Seasons'!$B$2:$B$181,A12,'All Seasons'!$L$2:$L$181)</f>
        <v>106.310095238095</v>
      </c>
      <c r="F12" s="28" t="n">
        <f aca="false">AVERAGEIF('All Seasons'!$B$2:$B$181,A12,'All Seasons'!$M$2:$M$181)</f>
        <v>5.73333333333333</v>
      </c>
      <c r="G12" s="28" t="n">
        <f aca="false">AVERAGEIF('All Seasons'!$B$2:$B$181,A12,'All Seasons'!$N$2:$N$181)</f>
        <v>5.8</v>
      </c>
      <c r="H12" s="19" t="n">
        <f aca="false">I12/B12</f>
        <v>0.466666666666667</v>
      </c>
      <c r="I12" s="12" t="n">
        <f aca="false">SUMIF('All Seasons'!$B$2:$B$181,A12,'All Seasons'!$O$2:$O$181)</f>
        <v>7</v>
      </c>
      <c r="J12" s="12" t="n">
        <f aca="false">SUMIF('All Seasons'!$B$2:$B$181,A12,'All Seasons'!$P$2:$P$181)</f>
        <v>5</v>
      </c>
      <c r="K12" s="12" t="n">
        <f aca="false">SUMIF('All Seasons'!$B$2:$B$181,A12,'All Seasons'!$Q$2:$Q$181)</f>
        <v>5</v>
      </c>
      <c r="L12" s="12" t="n">
        <f aca="false">SUMIF('All Seasons'!$B$2:$B$181,A12,'All Seasons'!$R$2:$R$181)</f>
        <v>6</v>
      </c>
    </row>
    <row r="13" customFormat="false" ht="15" hidden="false" customHeight="false" outlineLevel="0" collapsed="false">
      <c r="A13" s="12" t="n">
        <v>9</v>
      </c>
      <c r="B13" s="12" t="n">
        <f aca="false">COUNTIF('All Seasons'!$B$2:$B$181,A13)</f>
        <v>15</v>
      </c>
      <c r="C13" s="19" t="n">
        <f aca="false">AVERAGEIF('All Seasons'!$B$2:$B$181,A13,'All Seasons'!$J$2:$J$181)</f>
        <v>0.505860805860806</v>
      </c>
      <c r="D13" s="28" t="n">
        <f aca="false">C13*14</f>
        <v>7.08205128205128</v>
      </c>
      <c r="E13" s="20" t="n">
        <f aca="false">AVERAGEIF('All Seasons'!$B$2:$B$181,A13,'All Seasons'!$L$2:$L$181)</f>
        <v>103.785860805861</v>
      </c>
      <c r="F13" s="28" t="n">
        <f aca="false">AVERAGEIF('All Seasons'!$B$2:$B$181,A13,'All Seasons'!$M$2:$M$181)</f>
        <v>6.6</v>
      </c>
      <c r="G13" s="28" t="n">
        <f aca="false">AVERAGEIF('All Seasons'!$B$2:$B$181,A13,'All Seasons'!$N$2:$N$181)</f>
        <v>5.53333333333333</v>
      </c>
      <c r="H13" s="19" t="n">
        <f aca="false">I13/B13</f>
        <v>0.733333333333333</v>
      </c>
      <c r="I13" s="12" t="n">
        <f aca="false">SUMIF('All Seasons'!$B$2:$B$181,A13,'All Seasons'!$O$2:$O$181)</f>
        <v>11</v>
      </c>
      <c r="J13" s="12" t="n">
        <f aca="false">SUMIF('All Seasons'!$B$2:$B$181,A13,'All Seasons'!$P$2:$P$181)</f>
        <v>1</v>
      </c>
      <c r="K13" s="12" t="n">
        <f aca="false">SUMIF('All Seasons'!$B$2:$B$181,A13,'All Seasons'!$Q$2:$Q$181)</f>
        <v>2</v>
      </c>
      <c r="L13" s="12" t="n">
        <f aca="false">SUMIF('All Seasons'!$B$2:$B$181,A13,'All Seasons'!$R$2:$R$181)</f>
        <v>4</v>
      </c>
    </row>
    <row r="14" customFormat="false" ht="15" hidden="false" customHeight="false" outlineLevel="0" collapsed="false">
      <c r="A14" s="12" t="n">
        <v>10</v>
      </c>
      <c r="B14" s="12" t="n">
        <f aca="false">COUNTIF('All Seasons'!$B$2:$B$181,A14)</f>
        <v>15</v>
      </c>
      <c r="C14" s="19" t="n">
        <f aca="false">AVERAGEIF('All Seasons'!$B$2:$B$181,A14,'All Seasons'!$J$2:$J$181)</f>
        <v>0.526739926739927</v>
      </c>
      <c r="D14" s="28" t="n">
        <f aca="false">C14*14</f>
        <v>7.37435897435898</v>
      </c>
      <c r="E14" s="20" t="n">
        <f aca="false">AVERAGEIF('All Seasons'!$B$2:$B$181,A14,'All Seasons'!$L$2:$L$181)</f>
        <v>104.213384615385</v>
      </c>
      <c r="F14" s="28" t="n">
        <f aca="false">AVERAGEIF('All Seasons'!$B$2:$B$181,A14,'All Seasons'!$M$2:$M$181)</f>
        <v>6.93333333333333</v>
      </c>
      <c r="G14" s="28" t="n">
        <f aca="false">AVERAGEIF('All Seasons'!$B$2:$B$181,A14,'All Seasons'!$N$2:$N$181)</f>
        <v>6.4</v>
      </c>
      <c r="H14" s="19" t="n">
        <f aca="false">I14/B14</f>
        <v>0.466666666666667</v>
      </c>
      <c r="I14" s="12" t="n">
        <f aca="false">SUMIF('All Seasons'!$B$2:$B$181,A14,'All Seasons'!$O$2:$O$181)</f>
        <v>7</v>
      </c>
      <c r="J14" s="12" t="n">
        <f aca="false">SUMIF('All Seasons'!$B$2:$B$181,A14,'All Seasons'!$P$2:$P$181)</f>
        <v>1</v>
      </c>
      <c r="K14" s="12" t="n">
        <f aca="false">SUMIF('All Seasons'!$B$2:$B$181,A14,'All Seasons'!$Q$2:$Q$181)</f>
        <v>5</v>
      </c>
      <c r="L14" s="12" t="n">
        <f aca="false">SUMIF('All Seasons'!$B$2:$B$181,A14,'All Seasons'!$R$2:$R$181)</f>
        <v>6</v>
      </c>
    </row>
    <row r="15" customFormat="false" ht="15" hidden="false" customHeight="false" outlineLevel="0" collapsed="false">
      <c r="A15" s="12" t="n">
        <v>11</v>
      </c>
      <c r="B15" s="12" t="n">
        <f aca="false">COUNTIF('All Seasons'!$B$2:$B$181,A15)</f>
        <v>15</v>
      </c>
      <c r="C15" s="19" t="n">
        <f aca="false">AVERAGEIF('All Seasons'!$B$2:$B$181,A15,'All Seasons'!$J$2:$J$181)</f>
        <v>0.524542124542125</v>
      </c>
      <c r="D15" s="28" t="n">
        <f aca="false">C15*14</f>
        <v>7.34358974358974</v>
      </c>
      <c r="E15" s="20" t="n">
        <f aca="false">AVERAGEIF('All Seasons'!$B$2:$B$181,A15,'All Seasons'!$L$2:$L$181)</f>
        <v>105.267494505495</v>
      </c>
      <c r="F15" s="28" t="n">
        <f aca="false">AVERAGEIF('All Seasons'!$B$2:$B$181,A15,'All Seasons'!$M$2:$M$181)</f>
        <v>5.86666666666667</v>
      </c>
      <c r="G15" s="28" t="n">
        <f aca="false">AVERAGEIF('All Seasons'!$B$2:$B$181,A15,'All Seasons'!$N$2:$N$181)</f>
        <v>6.93333333333333</v>
      </c>
      <c r="H15" s="19" t="n">
        <f aca="false">I15/B15</f>
        <v>0.533333333333333</v>
      </c>
      <c r="I15" s="12" t="n">
        <f aca="false">SUMIF('All Seasons'!$B$2:$B$181,A15,'All Seasons'!$O$2:$O$181)</f>
        <v>8</v>
      </c>
      <c r="J15" s="12" t="n">
        <f aca="false">SUMIF('All Seasons'!$B$2:$B$181,A15,'All Seasons'!$P$2:$P$181)</f>
        <v>0</v>
      </c>
      <c r="K15" s="12" t="n">
        <f aca="false">SUMIF('All Seasons'!$B$2:$B$181,A15,'All Seasons'!$Q$2:$Q$181)</f>
        <v>1</v>
      </c>
      <c r="L15" s="12" t="n">
        <f aca="false">SUMIF('All Seasons'!$B$2:$B$181,A15,'All Seasons'!$R$2:$R$181)</f>
        <v>3</v>
      </c>
    </row>
    <row r="16" customFormat="false" ht="15" hidden="false" customHeight="false" outlineLevel="0" collapsed="false">
      <c r="A16" s="12" t="n">
        <v>12</v>
      </c>
      <c r="B16" s="12" t="n">
        <f aca="false">COUNTIF('All Seasons'!$B$2:$B$181,A16)</f>
        <v>15</v>
      </c>
      <c r="C16" s="19" t="n">
        <f aca="false">AVERAGEIF('All Seasons'!$B$2:$B$181,A16,'All Seasons'!$J$2:$J$181)</f>
        <v>0.480952380952381</v>
      </c>
      <c r="D16" s="28" t="n">
        <f aca="false">C16*14</f>
        <v>6.73333333333333</v>
      </c>
      <c r="E16" s="20" t="n">
        <f aca="false">AVERAGEIF('All Seasons'!$B$2:$B$181,A16,'All Seasons'!$L$2:$L$181)</f>
        <v>100.142564102564</v>
      </c>
      <c r="F16" s="28" t="n">
        <f aca="false">AVERAGEIF('All Seasons'!$B$2:$B$181,A16,'All Seasons'!$M$2:$M$181)</f>
        <v>8.06666666666667</v>
      </c>
      <c r="G16" s="28" t="n">
        <f aca="false">AVERAGEIF('All Seasons'!$B$2:$B$181,A16,'All Seasons'!$N$2:$N$181)</f>
        <v>6.93333333333333</v>
      </c>
      <c r="H16" s="19" t="n">
        <f aca="false">I16/B16</f>
        <v>0.533333333333333</v>
      </c>
      <c r="I16" s="12" t="n">
        <f aca="false">SUMIF('All Seasons'!$B$2:$B$181,A16,'All Seasons'!$O$2:$O$181)</f>
        <v>8</v>
      </c>
      <c r="J16" s="12" t="n">
        <f aca="false">SUMIF('All Seasons'!$B$2:$B$181,A16,'All Seasons'!$P$2:$P$181)</f>
        <v>0</v>
      </c>
      <c r="K16" s="12" t="n">
        <f aca="false">SUMIF('All Seasons'!$B$2:$B$181,A16,'All Seasons'!$Q$2:$Q$181)</f>
        <v>1</v>
      </c>
      <c r="L16" s="12" t="n">
        <f aca="false">SUMIF('All Seasons'!$B$2:$B$181,A16,'All Seasons'!$R$2:$R$181)</f>
        <v>3</v>
      </c>
    </row>
    <row r="17" customFormat="false" ht="15" hidden="false" customHeight="false" outlineLevel="0" collapsed="false">
      <c r="A17" s="29" t="s">
        <v>149</v>
      </c>
      <c r="B17" s="29" t="n">
        <f aca="false">SUM(B5:B16)</f>
        <v>180</v>
      </c>
      <c r="C17" s="30" t="n">
        <f aca="false">AVERAGE(C5:C16)</f>
        <v>0.5</v>
      </c>
      <c r="D17" s="31" t="n">
        <f aca="false">AVERAGE(D5:D16)</f>
        <v>7</v>
      </c>
      <c r="E17" s="32" t="n">
        <f aca="false">AVERAGE(E5:E16)</f>
        <v>104.618381562882</v>
      </c>
      <c r="F17" s="31" t="n">
        <f aca="false">AVERAGE(F5:F16)</f>
        <v>6.49444444444444</v>
      </c>
      <c r="G17" s="31" t="n">
        <f aca="false">AVERAGE(G5:G16)</f>
        <v>6.5</v>
      </c>
      <c r="H17" s="30" t="n">
        <f aca="false">AVERAGE(H5:H16)</f>
        <v>0.5</v>
      </c>
      <c r="I17" s="29" t="n">
        <f aca="false">SUM(I5:I16)</f>
        <v>90</v>
      </c>
      <c r="J17" s="29" t="n">
        <f aca="false">SUM(J5:J16)</f>
        <v>15</v>
      </c>
      <c r="K17" s="29" t="n">
        <f aca="false">SUM(K5:K16)</f>
        <v>30</v>
      </c>
      <c r="L17" s="29" t="n">
        <f aca="false">SUM(L5:L16)</f>
        <v>45</v>
      </c>
    </row>
    <row r="20" customFormat="false" ht="15" hidden="false" customHeight="false" outlineLevel="0" collapsed="false">
      <c r="A20" s="5" t="s">
        <v>150</v>
      </c>
    </row>
    <row r="21" customFormat="false" ht="23.85" hidden="false" customHeight="false" outlineLevel="0" collapsed="false">
      <c r="A21" s="6" t="s">
        <v>151</v>
      </c>
      <c r="B21" s="6" t="s">
        <v>152</v>
      </c>
      <c r="C21" s="6" t="s">
        <v>139</v>
      </c>
      <c r="D21" s="6" t="s">
        <v>141</v>
      </c>
      <c r="E21" s="6" t="s">
        <v>143</v>
      </c>
      <c r="F21" s="6" t="s">
        <v>144</v>
      </c>
      <c r="G21" s="6" t="s">
        <v>146</v>
      </c>
      <c r="H21" s="6" t="s">
        <v>147</v>
      </c>
    </row>
    <row r="22" customFormat="false" ht="15" hidden="false" customHeight="false" outlineLevel="0" collapsed="false">
      <c r="A22" s="13" t="s">
        <v>153</v>
      </c>
      <c r="B22" s="13" t="n">
        <f aca="false">COUNTIFS('All Seasons'!$B$2:$B$181,"&gt;="&amp;1,'All Seasons'!$B$2:$B$181,"&lt;="&amp;4)</f>
        <v>60</v>
      </c>
      <c r="C22" s="14" t="n">
        <f aca="false">AVERAGEIFS('All Seasons'!$J$2:$J$181,'All Seasons'!$B$2:$B$181,"&gt;="&amp;1,'All Seasons'!$B$2:$B$181,"&lt;="&amp;4)</f>
        <v>0.509249084249084</v>
      </c>
      <c r="D22" s="33" t="n">
        <f aca="false">AVERAGEIFS('All Seasons'!$L$2:$L$181,'All Seasons'!$B$2:$B$181,"&gt;="&amp;1,'All Seasons'!$B$2:$B$181,"&lt;="&amp;4)</f>
        <v>106.179245421245</v>
      </c>
      <c r="E22" s="33" t="n">
        <f aca="false">AVERAGEIFS('All Seasons'!$N$2:$N$181,'All Seasons'!$B$2:$B$181,"&gt;="&amp;1,'All Seasons'!$B$2:$B$181,"&lt;="&amp;4)</f>
        <v>6.16666666666667</v>
      </c>
      <c r="F22" s="14" t="n">
        <f aca="false">SUMIFS('All Seasons'!$O$2:$O$181,'All Seasons'!$B$2:$B$181,"&gt;="&amp;1,'All Seasons'!$B$2:$B$181,"&lt;="&amp;4)/B22</f>
        <v>0.533333333333333</v>
      </c>
      <c r="G22" s="13" t="n">
        <f aca="false">SUMIFS('All Seasons'!$P$2:$P$181,'All Seasons'!$B$2:$B$181,"&gt;="&amp;1,'All Seasons'!$B$2:$B$181,"&lt;="&amp;4)</f>
        <v>5</v>
      </c>
      <c r="H22" s="13" t="n">
        <f aca="false">SUMIFS('All Seasons'!$Q$2:$Q$181,'All Seasons'!$B$2:$B$181,"&gt;="&amp;1,'All Seasons'!$B$2:$B$181,"&lt;="&amp;4)</f>
        <v>12</v>
      </c>
    </row>
    <row r="23" customFormat="false" ht="15" hidden="false" customHeight="false" outlineLevel="0" collapsed="false">
      <c r="A23" s="13" t="s">
        <v>154</v>
      </c>
      <c r="B23" s="13" t="n">
        <f aca="false">COUNTIFS('All Seasons'!$B$2:$B$181,"&gt;="&amp;5,'All Seasons'!$B$2:$B$181,"&lt;="&amp;8)</f>
        <v>60</v>
      </c>
      <c r="C23" s="14" t="n">
        <f aca="false">AVERAGEIFS('All Seasons'!$J$2:$J$181,'All Seasons'!$B$2:$B$181,"&gt;="&amp;5,'All Seasons'!$B$2:$B$181,"&lt;="&amp;8)</f>
        <v>0.481227106227106</v>
      </c>
      <c r="D23" s="33" t="n">
        <f aca="false">AVERAGEIFS('All Seasons'!$L$2:$L$181,'All Seasons'!$B$2:$B$181,"&gt;="&amp;5,'All Seasons'!$B$2:$B$181,"&lt;="&amp;8)</f>
        <v>104.323573260073</v>
      </c>
      <c r="E23" s="33" t="n">
        <f aca="false">AVERAGEIFS('All Seasons'!$N$2:$N$181,'All Seasons'!$B$2:$B$181,"&gt;="&amp;5,'All Seasons'!$B$2:$B$181,"&lt;="&amp;8)</f>
        <v>6.88333333333333</v>
      </c>
      <c r="F23" s="14" t="n">
        <f aca="false">SUMIFS('All Seasons'!$O$2:$O$181,'All Seasons'!$B$2:$B$181,"&gt;="&amp;5,'All Seasons'!$B$2:$B$181,"&lt;="&amp;8)/B23</f>
        <v>0.4</v>
      </c>
      <c r="G23" s="13" t="n">
        <f aca="false">SUMIFS('All Seasons'!$P$2:$P$181,'All Seasons'!$B$2:$B$181,"&gt;="&amp;5,'All Seasons'!$B$2:$B$181,"&lt;="&amp;8)</f>
        <v>8</v>
      </c>
      <c r="H23" s="13" t="n">
        <f aca="false">SUMIFS('All Seasons'!$Q$2:$Q$181,'All Seasons'!$B$2:$B$181,"&gt;="&amp;5,'All Seasons'!$B$2:$B$181,"&lt;="&amp;8)</f>
        <v>9</v>
      </c>
    </row>
    <row r="24" customFormat="false" ht="15" hidden="false" customHeight="false" outlineLevel="0" collapsed="false">
      <c r="A24" s="13" t="s">
        <v>155</v>
      </c>
      <c r="B24" s="13" t="n">
        <f aca="false">COUNTIFS('All Seasons'!$B$2:$B$181,"&gt;="&amp;9,'All Seasons'!$B$2:$B$181,"&lt;="&amp;12)</f>
        <v>60</v>
      </c>
      <c r="C24" s="14" t="n">
        <f aca="false">AVERAGEIFS('All Seasons'!$J$2:$J$181,'All Seasons'!$B$2:$B$181,"&gt;="&amp;9,'All Seasons'!$B$2:$B$181,"&lt;="&amp;12)</f>
        <v>0.50952380952381</v>
      </c>
      <c r="D24" s="33" t="n">
        <f aca="false">AVERAGEIFS('All Seasons'!$L$2:$L$181,'All Seasons'!$B$2:$B$181,"&gt;="&amp;9,'All Seasons'!$B$2:$B$181,"&lt;="&amp;12)</f>
        <v>103.352326007326</v>
      </c>
      <c r="E24" s="33" t="n">
        <f aca="false">AVERAGEIFS('All Seasons'!$N$2:$N$181,'All Seasons'!$B$2:$B$181,"&gt;="&amp;9,'All Seasons'!$B$2:$B$181,"&lt;="&amp;12)</f>
        <v>6.45</v>
      </c>
      <c r="F24" s="14" t="n">
        <f aca="false">SUMIFS('All Seasons'!$O$2:$O$181,'All Seasons'!$B$2:$B$181,"&gt;="&amp;9,'All Seasons'!$B$2:$B$181,"&lt;="&amp;12)/B24</f>
        <v>0.566666666666667</v>
      </c>
      <c r="G24" s="13" t="n">
        <f aca="false">SUMIFS('All Seasons'!$P$2:$P$181,'All Seasons'!$B$2:$B$181,"&gt;="&amp;9,'All Seasons'!$B$2:$B$181,"&lt;="&amp;12)</f>
        <v>2</v>
      </c>
      <c r="H24" s="13" t="n">
        <f aca="false">SUMIFS('All Seasons'!$Q$2:$Q$181,'All Seasons'!$B$2:$B$181,"&gt;="&amp;9,'All Seasons'!$B$2:$B$181,"&lt;="&amp;12)</f>
        <v>9</v>
      </c>
    </row>
    <row r="26" customFormat="false" ht="15" hidden="false" customHeight="false" outlineLevel="0" collapsed="false">
      <c r="A26" s="5" t="s">
        <v>156</v>
      </c>
    </row>
    <row r="27" customFormat="false" ht="23.85" hidden="false" customHeight="false" outlineLevel="0" collapsed="false">
      <c r="A27" s="6" t="s">
        <v>157</v>
      </c>
      <c r="B27" s="6" t="s">
        <v>152</v>
      </c>
      <c r="C27" s="6" t="s">
        <v>139</v>
      </c>
      <c r="D27" s="6" t="s">
        <v>141</v>
      </c>
      <c r="E27" s="6" t="s">
        <v>143</v>
      </c>
      <c r="F27" s="6" t="s">
        <v>144</v>
      </c>
      <c r="G27" s="6" t="s">
        <v>146</v>
      </c>
    </row>
    <row r="28" customFormat="false" ht="15" hidden="false" customHeight="false" outlineLevel="0" collapsed="false">
      <c r="A28" s="13" t="s">
        <v>158</v>
      </c>
      <c r="B28" s="13" t="n">
        <f aca="false">COUNTIFS('All Seasons'!$B$2:$B$181,"&gt;="&amp;1,'All Seasons'!$B$2:$B$181,"&lt;="&amp;6)</f>
        <v>90</v>
      </c>
      <c r="C28" s="14" t="n">
        <f aca="false">AVERAGEIFS('All Seasons'!$J$2:$J$181,'All Seasons'!$B$2:$B$181,"&gt;="&amp;1,'All Seasons'!$B$2:$B$181,"&lt;="&amp;6)</f>
        <v>0.509218559218559</v>
      </c>
      <c r="D28" s="33" t="n">
        <f aca="false">AVERAGEIFS('All Seasons'!$L$2:$L$181,'All Seasons'!$B$2:$B$181,"&gt;="&amp;1,'All Seasons'!$B$2:$B$181,"&lt;="&amp;6)</f>
        <v>105.840456654457</v>
      </c>
      <c r="E28" s="33" t="n">
        <f aca="false">AVERAGEIFS('All Seasons'!$N$2:$N$181,'All Seasons'!$B$2:$B$181,"&gt;="&amp;1,'All Seasons'!$B$2:$B$181,"&lt;="&amp;6)</f>
        <v>6.27777777777778</v>
      </c>
      <c r="F28" s="14" t="n">
        <f aca="false">SUMIFS('All Seasons'!$O$2:$O$181,'All Seasons'!$B$2:$B$181,"&gt;="&amp;1,'All Seasons'!$B$2:$B$181,"&lt;="&amp;6)/B28</f>
        <v>0.522222222222222</v>
      </c>
      <c r="G28" s="13" t="n">
        <f aca="false">SUMIFS('All Seasons'!$P$2:$P$181,'All Seasons'!$B$2:$B$181,"&gt;="&amp;1,'All Seasons'!$B$2:$B$181,"&lt;="&amp;6)</f>
        <v>8</v>
      </c>
    </row>
    <row r="29" customFormat="false" ht="15" hidden="false" customHeight="false" outlineLevel="0" collapsed="false">
      <c r="A29" s="13" t="s">
        <v>159</v>
      </c>
      <c r="B29" s="13" t="n">
        <f aca="false">COUNTIFS('All Seasons'!$B$2:$B$181,"&gt;="&amp;7,'All Seasons'!$B$2:$B$181,"&lt;="&amp;12)</f>
        <v>90</v>
      </c>
      <c r="C29" s="14" t="n">
        <f aca="false">AVERAGEIFS('All Seasons'!$J$2:$J$181,'All Seasons'!$B$2:$B$181,"&gt;="&amp;7,'All Seasons'!$B$2:$B$181,"&lt;="&amp;12)</f>
        <v>0.490781440781441</v>
      </c>
      <c r="D29" s="33" t="n">
        <f aca="false">AVERAGEIFS('All Seasons'!$L$2:$L$181,'All Seasons'!$B$2:$B$181,"&gt;="&amp;7,'All Seasons'!$B$2:$B$181,"&lt;="&amp;12)</f>
        <v>103.396306471306</v>
      </c>
      <c r="E29" s="33" t="n">
        <f aca="false">AVERAGEIFS('All Seasons'!$N$2:$N$181,'All Seasons'!$B$2:$B$181,"&gt;="&amp;7,'All Seasons'!$B$2:$B$181,"&lt;="&amp;12)</f>
        <v>6.72222222222222</v>
      </c>
      <c r="F29" s="14" t="n">
        <f aca="false">SUMIFS('All Seasons'!$O$2:$O$181,'All Seasons'!$B$2:$B$181,"&gt;="&amp;7,'All Seasons'!$B$2:$B$181,"&lt;="&amp;12)/B29</f>
        <v>0.477777777777778</v>
      </c>
      <c r="G29" s="13" t="n">
        <f aca="false">SUMIFS('All Seasons'!$P$2:$P$181,'All Seasons'!$B$2:$B$181,"&gt;="&amp;7,'All Seasons'!$B$2:$B$181,"&lt;="&amp;12)</f>
        <v>7</v>
      </c>
    </row>
    <row r="31" customFormat="false" ht="15" hidden="false" customHeight="false" outlineLevel="0" collapsed="false">
      <c r="A31" s="27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1"/>
    <col collapsed="false" customWidth="true" hidden="false" outlineLevel="0" max="4" min="4" style="0" width="17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8" min="7" style="0" width="20"/>
  </cols>
  <sheetData>
    <row r="1" customFormat="false" ht="16.15" hidden="false" customHeight="false" outlineLevel="0" collapsed="false">
      <c r="A1" s="17" t="s">
        <v>161</v>
      </c>
    </row>
    <row r="2" customFormat="false" ht="74.6" hidden="false" customHeight="false" outlineLevel="0" collapsed="false">
      <c r="A2" s="34" t="s">
        <v>162</v>
      </c>
    </row>
    <row r="4" customFormat="false" ht="23.85" hidden="false" customHeight="false" outlineLevel="0" collapsed="false">
      <c r="A4" s="6" t="s">
        <v>43</v>
      </c>
      <c r="B4" s="6" t="s">
        <v>18</v>
      </c>
      <c r="C4" s="6" t="s">
        <v>22</v>
      </c>
      <c r="D4" s="6" t="s">
        <v>163</v>
      </c>
      <c r="E4" s="6" t="s">
        <v>119</v>
      </c>
      <c r="F4" s="6" t="s">
        <v>28</v>
      </c>
      <c r="G4" s="6" t="s">
        <v>164</v>
      </c>
      <c r="H4" s="6" t="s">
        <v>165</v>
      </c>
    </row>
    <row r="5" customFormat="false" ht="15" hidden="false" customHeight="false" outlineLevel="0" collapsed="false">
      <c r="A5" s="12" t="n">
        <v>2011</v>
      </c>
      <c r="B5" s="35" t="n">
        <f aca="false">CORREL('All Seasons'!$B$2:$B$13,'All Seasons'!$J$2:$J$13)</f>
        <v>-0.316194921989744</v>
      </c>
      <c r="C5" s="35" t="n">
        <f aca="false">CORREL('All Seasons'!$B$2:$B$13,'All Seasons'!$L$2:$L$13)</f>
        <v>-0.392914845888617</v>
      </c>
      <c r="D5" s="35" t="n">
        <f aca="false">CORREL('All Seasons'!$B$2:$B$13,'All Seasons'!$M$2:$M$13)</f>
        <v>0.384615384615385</v>
      </c>
      <c r="E5" s="35" t="n">
        <f aca="false">CORREL('All Seasons'!$B$2:$B$13,'All Seasons'!$N$2:$N$13)</f>
        <v>0.433566433566434</v>
      </c>
      <c r="F5" s="35" t="n">
        <f aca="false">CORREL('All Seasons'!$B$2:$B$13,'All Seasons'!$O$2:$O$13)</f>
        <v>-0.289682729751161</v>
      </c>
      <c r="G5" s="12" t="n">
        <f aca="false">INDEX('All Seasons'!$B$2:$B$13,MATCH(1,'All Seasons'!$N$2:$N$13,0))</f>
        <v>1</v>
      </c>
      <c r="H5" s="13" t="s">
        <v>166</v>
      </c>
    </row>
    <row r="6" customFormat="false" ht="15" hidden="false" customHeight="false" outlineLevel="0" collapsed="false">
      <c r="A6" s="12" t="n">
        <v>2012</v>
      </c>
      <c r="B6" s="35" t="n">
        <f aca="false">CORREL('All Seasons'!$B$14:$B$25,'All Seasons'!$J$14:$J$25)</f>
        <v>0.635763953205751</v>
      </c>
      <c r="C6" s="35" t="n">
        <f aca="false">CORREL('All Seasons'!$B$14:$B$25,'All Seasons'!$L$14:$L$25)</f>
        <v>0.22137312638399</v>
      </c>
      <c r="D6" s="35" t="n">
        <f aca="false">CORREL('All Seasons'!$B$14:$B$25,'All Seasons'!$M$14:$M$25)</f>
        <v>-0.0909090909090909</v>
      </c>
      <c r="E6" s="35" t="n">
        <f aca="false">CORREL('All Seasons'!$B$14:$B$25,'All Seasons'!$N$14:$N$25)</f>
        <v>-0.398601398601399</v>
      </c>
      <c r="F6" s="35" t="n">
        <f aca="false">CORREL('All Seasons'!$B$14:$B$25,'All Seasons'!$O$14:$O$25)</f>
        <v>0.434524094626741</v>
      </c>
      <c r="G6" s="12" t="n">
        <f aca="false">INDEX('All Seasons'!$B$14:$B$25,MATCH(1,'All Seasons'!$N$14:$N$25,0))</f>
        <v>6</v>
      </c>
      <c r="H6" s="13" t="s">
        <v>167</v>
      </c>
    </row>
    <row r="7" customFormat="false" ht="15" hidden="false" customHeight="false" outlineLevel="0" collapsed="false">
      <c r="A7" s="12" t="n">
        <v>2013</v>
      </c>
      <c r="B7" s="35" t="n">
        <f aca="false">CORREL('All Seasons'!$B$26:$B$37,'All Seasons'!$J$26:$J$37)</f>
        <v>-0.296273342958902</v>
      </c>
      <c r="C7" s="35" t="n">
        <f aca="false">CORREL('All Seasons'!$B$26:$B$37,'All Seasons'!$L$26:$L$37)</f>
        <v>0.0905376850023852</v>
      </c>
      <c r="D7" s="35" t="n">
        <f aca="false">CORREL('All Seasons'!$B$26:$B$37,'All Seasons'!$M$26:$M$37)</f>
        <v>-0.153846153846154</v>
      </c>
      <c r="E7" s="35" t="n">
        <f aca="false">CORREL('All Seasons'!$B$26:$B$37,'All Seasons'!$N$26:$N$37)</f>
        <v>0.167832167832168</v>
      </c>
      <c r="F7" s="35" t="n">
        <f aca="false">CORREL('All Seasons'!$B$26:$B$37,'All Seasons'!$O$26:$O$37)</f>
        <v>0.14484136487558</v>
      </c>
      <c r="G7" s="12" t="n">
        <f aca="false">INDEX('All Seasons'!$B$26:$B$37,MATCH(1,'All Seasons'!$N$26:$N$37,0))</f>
        <v>4</v>
      </c>
      <c r="H7" s="13" t="s">
        <v>168</v>
      </c>
    </row>
    <row r="8" customFormat="false" ht="15" hidden="false" customHeight="false" outlineLevel="0" collapsed="false">
      <c r="A8" s="12" t="n">
        <v>2014</v>
      </c>
      <c r="B8" s="35" t="n">
        <f aca="false">CORREL('All Seasons'!$B$38:$B$49,'All Seasons'!$J$38:$J$49)</f>
        <v>0</v>
      </c>
      <c r="C8" s="35" t="n">
        <f aca="false">CORREL('All Seasons'!$B$38:$B$49,'All Seasons'!$L$38:$L$49)</f>
        <v>0.0940958909568509</v>
      </c>
      <c r="D8" s="35" t="n">
        <f aca="false">CORREL('All Seasons'!$B$38:$B$49,'All Seasons'!$M$38:$M$49)</f>
        <v>-0.125874125874126</v>
      </c>
      <c r="E8" s="35" t="n">
        <f aca="false">CORREL('All Seasons'!$B$38:$B$49,'All Seasons'!$N$38:$N$49)</f>
        <v>-0.307692307692308</v>
      </c>
      <c r="F8" s="35" t="n">
        <f aca="false">CORREL('All Seasons'!$B$38:$B$49,'All Seasons'!$O$38:$O$49)</f>
        <v>0.337963184709687</v>
      </c>
      <c r="G8" s="12" t="n">
        <f aca="false">INDEX('All Seasons'!$B$38:$B$49,MATCH(1,'All Seasons'!$N$38:$N$49,0))</f>
        <v>8</v>
      </c>
      <c r="H8" s="13" t="s">
        <v>169</v>
      </c>
    </row>
    <row r="9" customFormat="false" ht="15" hidden="false" customHeight="false" outlineLevel="0" collapsed="false">
      <c r="A9" s="12" t="n">
        <v>2015</v>
      </c>
      <c r="B9" s="35" t="n">
        <f aca="false">CORREL('All Seasons'!$B$50:$B$61,'All Seasons'!$J$50:$J$61)</f>
        <v>-0.255328947917162</v>
      </c>
      <c r="C9" s="35" t="n">
        <f aca="false">CORREL('All Seasons'!$B$50:$B$61,'All Seasons'!$L$50:$L$61)</f>
        <v>-0.51886754593923</v>
      </c>
      <c r="D9" s="35" t="n">
        <f aca="false">CORREL('All Seasons'!$B$50:$B$61,'All Seasons'!$M$50:$M$61)</f>
        <v>0.468106986005894</v>
      </c>
      <c r="E9" s="35" t="n">
        <f aca="false">CORREL('All Seasons'!$B$50:$B$61,'All Seasons'!$N$50:$N$61)</f>
        <v>0</v>
      </c>
      <c r="F9" s="35" t="n">
        <f aca="false">CORREL('All Seasons'!$B$50:$B$61,'All Seasons'!$O$50:$O$61)</f>
        <v>-0.289682729751161</v>
      </c>
      <c r="G9" s="12" t="n">
        <f aca="false">INDEX('All Seasons'!$B$50:$B$61,MATCH(1,'All Seasons'!$N$50:$N$61,0))</f>
        <v>10</v>
      </c>
      <c r="H9" s="13" t="s">
        <v>170</v>
      </c>
    </row>
    <row r="10" customFormat="false" ht="15" hidden="false" customHeight="false" outlineLevel="0" collapsed="false">
      <c r="A10" s="12" t="n">
        <v>2016</v>
      </c>
      <c r="B10" s="35" t="n">
        <f aca="false">CORREL('All Seasons'!$B$62:$B$73,'All Seasons'!$J$62:$J$73)</f>
        <v>-0.473587168431523</v>
      </c>
      <c r="C10" s="35" t="n">
        <f aca="false">CORREL('All Seasons'!$B$62:$B$73,'All Seasons'!$L$62:$L$73)</f>
        <v>-0.690263924505721</v>
      </c>
      <c r="D10" s="35" t="n">
        <f aca="false">CORREL('All Seasons'!$B$62:$B$73,'All Seasons'!$M$62:$M$73)</f>
        <v>0.741258741258741</v>
      </c>
      <c r="E10" s="35" t="n">
        <f aca="false">CORREL('All Seasons'!$B$62:$B$73,'All Seasons'!$N$62:$N$73)</f>
        <v>0.643356643356643</v>
      </c>
      <c r="F10" s="35" t="n">
        <f aca="false">CORREL('All Seasons'!$B$62:$B$73,'All Seasons'!$O$62:$O$73)</f>
        <v>-0.337963184709687</v>
      </c>
      <c r="G10" s="12" t="n">
        <f aca="false">INDEX('All Seasons'!$B$62:$B$73,MATCH(1,'All Seasons'!$N$62:$N$73,0))</f>
        <v>1</v>
      </c>
      <c r="H10" s="13" t="s">
        <v>171</v>
      </c>
    </row>
    <row r="11" customFormat="false" ht="15" hidden="false" customHeight="false" outlineLevel="0" collapsed="false">
      <c r="A11" s="12" t="n">
        <v>2017</v>
      </c>
      <c r="B11" s="35" t="n">
        <f aca="false">CORREL('All Seasons'!$B$74:$B$85,'All Seasons'!$J$74:$J$85)</f>
        <v>-0.204414713557289</v>
      </c>
      <c r="C11" s="35" t="n">
        <f aca="false">CORREL('All Seasons'!$B$74:$B$85,'All Seasons'!$L$74:$L$85)</f>
        <v>-0.378142836151972</v>
      </c>
      <c r="D11" s="35" t="n">
        <f aca="false">CORREL('All Seasons'!$B$74:$B$85,'All Seasons'!$M$74:$M$85)</f>
        <v>0.370629370629371</v>
      </c>
      <c r="E11" s="35" t="n">
        <f aca="false">CORREL('All Seasons'!$B$74:$B$85,'All Seasons'!$N$74:$N$85)</f>
        <v>0.118881118881119</v>
      </c>
      <c r="F11" s="35" t="n">
        <f aca="false">CORREL('All Seasons'!$B$74:$B$85,'All Seasons'!$O$74:$O$85)</f>
        <v>0.0965609099170535</v>
      </c>
      <c r="G11" s="12" t="n">
        <f aca="false">INDEX('All Seasons'!$B$74:$B$85,MATCH(1,'All Seasons'!$N$74:$N$85,0))</f>
        <v>5</v>
      </c>
      <c r="H11" s="13" t="s">
        <v>172</v>
      </c>
    </row>
    <row r="12" customFormat="false" ht="15" hidden="false" customHeight="false" outlineLevel="0" collapsed="false">
      <c r="A12" s="12" t="n">
        <v>2018</v>
      </c>
      <c r="B12" s="35" t="n">
        <f aca="false">CORREL('All Seasons'!$B$86:$B$97,'All Seasons'!$J$86:$J$97)</f>
        <v>0.235211441926259</v>
      </c>
      <c r="C12" s="35" t="n">
        <f aca="false">CORREL('All Seasons'!$B$86:$B$97,'All Seasons'!$L$86:$L$97)</f>
        <v>-0.21014898239754</v>
      </c>
      <c r="D12" s="35" t="n">
        <f aca="false">CORREL('All Seasons'!$B$86:$B$97,'All Seasons'!$M$86:$M$97)</f>
        <v>0.216783216783217</v>
      </c>
      <c r="E12" s="35" t="n">
        <f aca="false">CORREL('All Seasons'!$B$86:$B$97,'All Seasons'!$N$86:$N$97)</f>
        <v>0.132867132867133</v>
      </c>
      <c r="F12" s="35" t="n">
        <f aca="false">CORREL('All Seasons'!$B$86:$B$97,'All Seasons'!$O$86:$O$97)</f>
        <v>-0.0965609099170535</v>
      </c>
      <c r="G12" s="12" t="n">
        <f aca="false">INDEX('All Seasons'!$B$86:$B$97,MATCH(1,'All Seasons'!$N$86:$N$97,0))</f>
        <v>8</v>
      </c>
      <c r="H12" s="13" t="s">
        <v>173</v>
      </c>
    </row>
    <row r="13" customFormat="false" ht="15" hidden="false" customHeight="false" outlineLevel="0" collapsed="false">
      <c r="A13" s="12" t="n">
        <v>2019</v>
      </c>
      <c r="B13" s="35" t="n">
        <f aca="false">CORREL('All Seasons'!$B$98:$B$109,'All Seasons'!$J$98:$J$109)</f>
        <v>0.180232198529761</v>
      </c>
      <c r="C13" s="35" t="n">
        <f aca="false">CORREL('All Seasons'!$B$98:$B$109,'All Seasons'!$L$98:$L$109)</f>
        <v>0.195188685469249</v>
      </c>
      <c r="D13" s="35" t="n">
        <f aca="false">CORREL('All Seasons'!$B$98:$B$109,'All Seasons'!$M$98:$M$109)</f>
        <v>-0.160839160839161</v>
      </c>
      <c r="E13" s="35" t="n">
        <f aca="false">CORREL('All Seasons'!$B$98:$B$109,'All Seasons'!$N$98:$N$109)</f>
        <v>-0.020979020979021</v>
      </c>
      <c r="F13" s="35" t="n">
        <f aca="false">CORREL('All Seasons'!$B$98:$B$109,'All Seasons'!$O$98:$O$109)</f>
        <v>0</v>
      </c>
      <c r="G13" s="12" t="n">
        <f aca="false">INDEX('All Seasons'!$B$98:$B$109,MATCH(1,'All Seasons'!$N$98:$N$109,0))</f>
        <v>8</v>
      </c>
      <c r="H13" s="13" t="s">
        <v>174</v>
      </c>
    </row>
    <row r="14" customFormat="false" ht="15" hidden="false" customHeight="false" outlineLevel="0" collapsed="false">
      <c r="A14" s="12" t="n">
        <v>2020</v>
      </c>
      <c r="B14" s="35" t="n">
        <f aca="false">CORREL('All Seasons'!$B$110:$B$121,'All Seasons'!$J$110:$J$121)</f>
        <v>0.637628554890725</v>
      </c>
      <c r="C14" s="35" t="n">
        <f aca="false">CORREL('All Seasons'!$B$110:$B$121,'All Seasons'!$L$110:$L$121)</f>
        <v>0.34173669813234</v>
      </c>
      <c r="D14" s="35" t="n">
        <f aca="false">CORREL('All Seasons'!$B$110:$B$121,'All Seasons'!$M$110:$M$121)</f>
        <v>-0.265734265734266</v>
      </c>
      <c r="E14" s="35" t="n">
        <f aca="false">CORREL('All Seasons'!$B$110:$B$121,'All Seasons'!$N$110:$N$121)</f>
        <v>-0.335664335664336</v>
      </c>
      <c r="F14" s="35" t="n">
        <f aca="false">CORREL('All Seasons'!$B$110:$B$121,'All Seasons'!$O$110:$O$121)</f>
        <v>0.337963184709687</v>
      </c>
      <c r="G14" s="12" t="n">
        <f aca="false">INDEX('All Seasons'!$B$110:$B$121,MATCH(1,'All Seasons'!$N$110:$N$121,0))</f>
        <v>6</v>
      </c>
      <c r="H14" s="13" t="s">
        <v>175</v>
      </c>
    </row>
    <row r="15" customFormat="false" ht="15" hidden="false" customHeight="false" outlineLevel="0" collapsed="false">
      <c r="A15" s="12" t="n">
        <v>2021</v>
      </c>
      <c r="B15" s="35" t="n">
        <f aca="false">CORREL('All Seasons'!$B$122:$B$133,'All Seasons'!$J$122:$J$133)</f>
        <v>-0.325221817793995</v>
      </c>
      <c r="C15" s="35" t="n">
        <f aca="false">CORREL('All Seasons'!$B$122:$B$133,'All Seasons'!$L$122:$L$133)</f>
        <v>-0.345884027560338</v>
      </c>
      <c r="D15" s="35" t="n">
        <f aca="false">CORREL('All Seasons'!$B$122:$B$133,'All Seasons'!$M$122:$M$133)</f>
        <v>0.300699300699301</v>
      </c>
      <c r="E15" s="35" t="n">
        <f aca="false">CORREL('All Seasons'!$B$122:$B$133,'All Seasons'!$N$122:$N$133)</f>
        <v>0.104895104895105</v>
      </c>
      <c r="F15" s="35" t="n">
        <f aca="false">CORREL('All Seasons'!$B$122:$B$133,'All Seasons'!$O$122:$O$133)</f>
        <v>-0.0965609099170535</v>
      </c>
      <c r="G15" s="12" t="n">
        <f aca="false">INDEX('All Seasons'!$B$122:$B$133,MATCH(1,'All Seasons'!$N$122:$N$133,0))</f>
        <v>8</v>
      </c>
      <c r="H15" s="13" t="s">
        <v>176</v>
      </c>
    </row>
    <row r="16" customFormat="false" ht="15" hidden="false" customHeight="false" outlineLevel="0" collapsed="false">
      <c r="A16" s="12" t="n">
        <v>2022</v>
      </c>
      <c r="B16" s="35" t="n">
        <f aca="false">CORREL('All Seasons'!$B$134:$B$145,'All Seasons'!$J$134:$J$145)</f>
        <v>-0.221934883993827</v>
      </c>
      <c r="C16" s="35" t="n">
        <f aca="false">CORREL('All Seasons'!$B$134:$B$145,'All Seasons'!$L$134:$L$145)</f>
        <v>-0.0666953208891969</v>
      </c>
      <c r="D16" s="35" t="n">
        <f aca="false">CORREL('All Seasons'!$B$134:$B$145,'All Seasons'!$M$134:$M$145)</f>
        <v>0.020979020979021</v>
      </c>
      <c r="E16" s="35" t="n">
        <f aca="false">CORREL('All Seasons'!$B$134:$B$145,'All Seasons'!$N$134:$N$145)</f>
        <v>0.181818181818182</v>
      </c>
      <c r="F16" s="35" t="n">
        <f aca="false">CORREL('All Seasons'!$B$134:$B$145,'All Seasons'!$O$134:$O$145)</f>
        <v>-0.241402274792634</v>
      </c>
      <c r="G16" s="12" t="n">
        <f aca="false">INDEX('All Seasons'!$B$134:$B$145,MATCH(1,'All Seasons'!$N$134:$N$145,0))</f>
        <v>8</v>
      </c>
      <c r="H16" s="13" t="s">
        <v>177</v>
      </c>
    </row>
    <row r="17" customFormat="false" ht="15" hidden="false" customHeight="false" outlineLevel="0" collapsed="false">
      <c r="A17" s="12" t="n">
        <v>2023</v>
      </c>
      <c r="B17" s="35" t="n">
        <f aca="false">CORREL('All Seasons'!$B$146:$B$157,'All Seasons'!$J$146:$J$157)</f>
        <v>0.306955319070673</v>
      </c>
      <c r="C17" s="35" t="n">
        <f aca="false">CORREL('All Seasons'!$B$146:$B$157,'All Seasons'!$L$146:$L$157)</f>
        <v>0.38755626669458</v>
      </c>
      <c r="D17" s="35" t="n">
        <f aca="false">CORREL('All Seasons'!$B$146:$B$157,'All Seasons'!$M$146:$M$157)</f>
        <v>-0.447552447552448</v>
      </c>
      <c r="E17" s="35" t="n">
        <f aca="false">CORREL('All Seasons'!$B$146:$B$157,'All Seasons'!$N$146:$N$157)</f>
        <v>-0.440559440559441</v>
      </c>
      <c r="F17" s="35" t="n">
        <f aca="false">CORREL('All Seasons'!$B$146:$B$157,'All Seasons'!$O$146:$O$157)</f>
        <v>0.531085004543794</v>
      </c>
      <c r="G17" s="12" t="n">
        <f aca="false">INDEX('All Seasons'!$B$146:$B$157,MATCH(1,'All Seasons'!$N$146:$N$157,0))</f>
        <v>9</v>
      </c>
      <c r="H17" s="13" t="s">
        <v>178</v>
      </c>
    </row>
    <row r="18" customFormat="false" ht="15" hidden="false" customHeight="false" outlineLevel="0" collapsed="false">
      <c r="A18" s="12" t="n">
        <v>2024</v>
      </c>
      <c r="B18" s="35" t="n">
        <f aca="false">CORREL('All Seasons'!$B$158:$B$169,'All Seasons'!$J$158:$J$169)</f>
        <v>0.177393718796725</v>
      </c>
      <c r="C18" s="35" t="n">
        <f aca="false">CORREL('All Seasons'!$B$158:$B$169,'All Seasons'!$L$158:$L$169)</f>
        <v>0.0157960321897139</v>
      </c>
      <c r="D18" s="35" t="n">
        <f aca="false">CORREL('All Seasons'!$B$158:$B$169,'All Seasons'!$M$158:$M$169)</f>
        <v>0.00699300699300699</v>
      </c>
      <c r="E18" s="35" t="n">
        <f aca="false">CORREL('All Seasons'!$B$158:$B$169,'All Seasons'!$N$158:$N$169)</f>
        <v>0.300699300699301</v>
      </c>
      <c r="F18" s="35" t="n">
        <f aca="false">CORREL('All Seasons'!$B$158:$B$169,'All Seasons'!$O$158:$O$169)</f>
        <v>-0.14484136487558</v>
      </c>
      <c r="G18" s="12" t="n">
        <f aca="false">INDEX('All Seasons'!$B$158:$B$169,MATCH(1,'All Seasons'!$N$158:$N$169,0))</f>
        <v>2</v>
      </c>
      <c r="H18" s="13" t="s">
        <v>179</v>
      </c>
    </row>
    <row r="19" customFormat="false" ht="15" hidden="false" customHeight="false" outlineLevel="0" collapsed="false">
      <c r="A19" s="12" t="n">
        <v>2025</v>
      </c>
      <c r="B19" s="35" t="n">
        <f aca="false">CORREL('All Seasons'!$B$170:$B$181,'All Seasons'!$J$170:$J$181)</f>
        <v>-0.168290458201522</v>
      </c>
      <c r="C19" s="35" t="n">
        <f aca="false">CORREL('All Seasons'!$B$170:$B$181,'All Seasons'!$L$170:$L$181)</f>
        <v>-0.212890280160901</v>
      </c>
      <c r="D19" s="35" t="n">
        <f aca="false">CORREL('All Seasons'!$B$170:$B$181,'All Seasons'!$M$170:$M$181)</f>
        <v>0.041958041958042</v>
      </c>
      <c r="E19" s="35" t="n">
        <f aca="false">CORREL('All Seasons'!$B$170:$B$181,'All Seasons'!$N$170:$N$181)</f>
        <v>0.174825174825175</v>
      </c>
      <c r="F19" s="35" t="n">
        <f aca="false">CORREL('All Seasons'!$B$170:$B$181,'All Seasons'!$O$170:$O$181)</f>
        <v>-0.14484136487558</v>
      </c>
      <c r="G19" s="12" t="n">
        <f aca="false">INDEX('All Seasons'!$B$170:$B$181,MATCH(1,'All Seasons'!$N$170:$N$181,0))</f>
        <v>2</v>
      </c>
      <c r="H19" s="13" t="s">
        <v>180</v>
      </c>
    </row>
    <row r="21" customFormat="false" ht="15" hidden="false" customHeight="false" outlineLevel="0" collapsed="false">
      <c r="A21" s="5" t="s">
        <v>181</v>
      </c>
    </row>
    <row r="22" customFormat="false" ht="23.85" hidden="false" customHeight="false" outlineLevel="0" collapsed="false">
      <c r="A22" s="6" t="s">
        <v>182</v>
      </c>
      <c r="B22" s="6" t="s">
        <v>18</v>
      </c>
      <c r="C22" s="6" t="s">
        <v>22</v>
      </c>
      <c r="D22" s="6" t="s">
        <v>163</v>
      </c>
      <c r="E22" s="6" t="s">
        <v>119</v>
      </c>
      <c r="F22" s="6" t="s">
        <v>28</v>
      </c>
    </row>
    <row r="23" customFormat="false" ht="15" hidden="false" customHeight="false" outlineLevel="0" collapsed="false">
      <c r="A23" s="12" t="s">
        <v>183</v>
      </c>
      <c r="B23" s="35" t="n">
        <f aca="false">CORREL('All Seasons'!$B$2:$B$181,'All Seasons'!$J$2:$J$181)</f>
        <v>-0.0187413517498415</v>
      </c>
      <c r="C23" s="35" t="n">
        <f aca="false">CORREL('All Seasons'!$B$2:$B$181,'All Seasons'!$L$2:$L$181)</f>
        <v>-0.100691166526224</v>
      </c>
      <c r="D23" s="35" t="n">
        <f aca="false">CORREL('All Seasons'!$B$2:$B$181,'All Seasons'!$M$2:$M$181)</f>
        <v>0.0866015045906019</v>
      </c>
      <c r="E23" s="35" t="n">
        <f aca="false">CORREL('All Seasons'!$B$2:$B$181,'All Seasons'!$N$2:$N$181)</f>
        <v>0.0503496503496504</v>
      </c>
      <c r="F23" s="35" t="n">
        <f aca="false">CORREL('All Seasons'!$B$2:$B$181,'All Seasons'!$O$2:$O$181)</f>
        <v>0.0160934849861756</v>
      </c>
      <c r="G23" s="36"/>
    </row>
    <row r="24" customFormat="false" ht="15" hidden="false" customHeight="false" outlineLevel="0" collapsed="false">
      <c r="A24" s="12" t="s">
        <v>184</v>
      </c>
      <c r="B24" s="35" t="n">
        <f aca="false">B23^2</f>
        <v>0.000351238265411288</v>
      </c>
      <c r="C24" s="35" t="n">
        <f aca="false">C23^2</f>
        <v>0.0101387110164118</v>
      </c>
      <c r="D24" s="35" t="n">
        <f aca="false">D23^2</f>
        <v>0.00749982059735604</v>
      </c>
      <c r="E24" s="35" t="n">
        <f aca="false">E23^2</f>
        <v>0.00253508729033205</v>
      </c>
      <c r="F24" s="35" t="n">
        <f aca="false">F23^2</f>
        <v>0.000259000259000259</v>
      </c>
      <c r="G24" s="36"/>
    </row>
    <row r="26" customFormat="false" ht="25.5" hidden="false" customHeight="true" outlineLevel="0" collapsed="false">
      <c r="A26" s="37" t="s">
        <v>185</v>
      </c>
      <c r="B26" s="37"/>
      <c r="C26" s="37"/>
      <c r="D26" s="37"/>
      <c r="E26" s="37"/>
      <c r="F26" s="37"/>
      <c r="G26" s="37"/>
      <c r="H26" s="37"/>
    </row>
    <row r="27" customFormat="false" ht="25.5" hidden="false" customHeight="true" outlineLevel="0" collapsed="false">
      <c r="A27" s="37" t="s">
        <v>186</v>
      </c>
      <c r="B27" s="37"/>
      <c r="C27" s="37"/>
      <c r="D27" s="37"/>
      <c r="E27" s="37"/>
      <c r="F27" s="37"/>
      <c r="G27" s="37"/>
      <c r="H27" s="37"/>
    </row>
    <row r="28" customFormat="false" ht="25.5" hidden="false" customHeight="true" outlineLevel="0" collapsed="false">
      <c r="A28" s="37" t="s">
        <v>187</v>
      </c>
      <c r="B28" s="37"/>
      <c r="C28" s="37"/>
      <c r="D28" s="37"/>
      <c r="E28" s="37"/>
      <c r="F28" s="37"/>
      <c r="G28" s="37"/>
      <c r="H28" s="37"/>
    </row>
  </sheetData>
  <mergeCells count="3">
    <mergeCell ref="A26:H26"/>
    <mergeCell ref="A27:H27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6"/>
    <col collapsed="false" customWidth="true" hidden="false" outlineLevel="0" max="14" min="14" style="0" width="26"/>
    <col collapsed="false" customWidth="true" hidden="false" outlineLevel="0" max="15" min="15" style="0" width="12"/>
  </cols>
  <sheetData>
    <row r="1" customFormat="false" ht="16.15" hidden="false" customHeight="false" outlineLevel="0" collapsed="false">
      <c r="A1" s="17" t="s">
        <v>188</v>
      </c>
    </row>
    <row r="2" customFormat="false" ht="15" hidden="false" customHeight="false" outlineLevel="0" collapsed="false">
      <c r="A2" s="18" t="s">
        <v>189</v>
      </c>
    </row>
    <row r="4" customFormat="false" ht="15" hidden="false" customHeight="false" outlineLevel="0" collapsed="false">
      <c r="A4" s="6" t="s">
        <v>43</v>
      </c>
      <c r="B4" s="6" t="s">
        <v>190</v>
      </c>
      <c r="C4" s="6" t="s">
        <v>191</v>
      </c>
      <c r="D4" s="6" t="s">
        <v>192</v>
      </c>
      <c r="E4" s="6" t="s">
        <v>193</v>
      </c>
      <c r="F4" s="6" t="s">
        <v>194</v>
      </c>
      <c r="G4" s="6" t="s">
        <v>195</v>
      </c>
      <c r="H4" s="6" t="s">
        <v>196</v>
      </c>
      <c r="I4" s="6" t="s">
        <v>197</v>
      </c>
      <c r="J4" s="6" t="s">
        <v>198</v>
      </c>
      <c r="K4" s="6" t="s">
        <v>199</v>
      </c>
      <c r="L4" s="6" t="s">
        <v>200</v>
      </c>
      <c r="M4" s="6" t="s">
        <v>201</v>
      </c>
      <c r="N4" s="6" t="s">
        <v>51</v>
      </c>
      <c r="O4" s="6" t="s">
        <v>45</v>
      </c>
    </row>
    <row r="5" customFormat="false" ht="15" hidden="false" customHeight="false" outlineLevel="0" collapsed="false">
      <c r="A5" s="12" t="n">
        <v>2011</v>
      </c>
      <c r="B5" s="7" t="n">
        <f aca="false">INDEX('All Seasons'!$B$2:$B$13,MATCH(1,'All Seasons'!$N$2:$N$13,0))</f>
        <v>1</v>
      </c>
      <c r="C5" s="7" t="n">
        <f aca="false">INDEX('All Seasons'!$B$2:$B$13,MATCH(2,'All Seasons'!$N$2:$N$13,0))</f>
        <v>2</v>
      </c>
      <c r="D5" s="7" t="n">
        <f aca="false">INDEX('All Seasons'!$B$2:$B$13,MATCH(3,'All Seasons'!$N$2:$N$13,0))</f>
        <v>5</v>
      </c>
      <c r="E5" s="7" t="n">
        <f aca="false">INDEX('All Seasons'!$B$2:$B$13,MATCH(4,'All Seasons'!$N$2:$N$13,0))</f>
        <v>4</v>
      </c>
      <c r="F5" s="7" t="n">
        <f aca="false">INDEX('All Seasons'!$B$2:$B$13,MATCH(5,'All Seasons'!$N$2:$N$13,0))</f>
        <v>12</v>
      </c>
      <c r="G5" s="7" t="n">
        <f aca="false">INDEX('All Seasons'!$B$2:$B$13,MATCH(6,'All Seasons'!$N$2:$N$13,0))</f>
        <v>9</v>
      </c>
      <c r="H5" s="12" t="n">
        <f aca="false">INDEX('All Seasons'!$B$2:$B$13,MATCH(7,'All Seasons'!$N$2:$N$13,0))</f>
        <v>8</v>
      </c>
      <c r="I5" s="12" t="n">
        <f aca="false">INDEX('All Seasons'!$B$2:$B$13,MATCH(8,'All Seasons'!$N$2:$N$13,0))</f>
        <v>11</v>
      </c>
      <c r="J5" s="12" t="n">
        <f aca="false">INDEX('All Seasons'!$B$2:$B$13,MATCH(9,'All Seasons'!$N$2:$N$13,0))</f>
        <v>7</v>
      </c>
      <c r="K5" s="12" t="n">
        <f aca="false">INDEX('All Seasons'!$B$2:$B$13,MATCH(10,'All Seasons'!$N$2:$N$13,0))</f>
        <v>3</v>
      </c>
      <c r="L5" s="12" t="n">
        <f aca="false">INDEX('All Seasons'!$B$2:$B$13,MATCH(11,'All Seasons'!$N$2:$N$13,0))</f>
        <v>10</v>
      </c>
      <c r="M5" s="12" t="n">
        <f aca="false">INDEX('All Seasons'!$B$2:$B$13,MATCH(12,'All Seasons'!$N$2:$N$13,0))</f>
        <v>6</v>
      </c>
      <c r="N5" s="12" t="str">
        <f aca="false">INDEX('All Seasons'!$C$2:$C$13,MATCH(1,'All Seasons'!$N$2:$N$13,0))</f>
        <v>Going Postal</v>
      </c>
      <c r="O5" s="12" t="str">
        <f aca="false">INDEX('All Seasons'!$D$2:$D$13,MATCH(1,'All Seasons'!$N$2:$N$13,0))</f>
        <v>Steve</v>
      </c>
    </row>
    <row r="6" customFormat="false" ht="15" hidden="false" customHeight="false" outlineLevel="0" collapsed="false">
      <c r="A6" s="12" t="n">
        <v>2012</v>
      </c>
      <c r="B6" s="7" t="n">
        <f aca="false">INDEX('All Seasons'!$B$14:$B$25,MATCH(1,'All Seasons'!$N$14:$N$25,0))</f>
        <v>6</v>
      </c>
      <c r="C6" s="7" t="n">
        <f aca="false">INDEX('All Seasons'!$B$14:$B$25,MATCH(2,'All Seasons'!$N$14:$N$25,0))</f>
        <v>10</v>
      </c>
      <c r="D6" s="7" t="n">
        <f aca="false">INDEX('All Seasons'!$B$14:$B$25,MATCH(3,'All Seasons'!$N$14:$N$25,0))</f>
        <v>8</v>
      </c>
      <c r="E6" s="7" t="n">
        <f aca="false">INDEX('All Seasons'!$B$14:$B$25,MATCH(4,'All Seasons'!$N$14:$N$25,0))</f>
        <v>3</v>
      </c>
      <c r="F6" s="7" t="n">
        <f aca="false">INDEX('All Seasons'!$B$14:$B$25,MATCH(5,'All Seasons'!$N$14:$N$25,0))</f>
        <v>12</v>
      </c>
      <c r="G6" s="7" t="n">
        <f aca="false">INDEX('All Seasons'!$B$14:$B$25,MATCH(6,'All Seasons'!$N$14:$N$25,0))</f>
        <v>9</v>
      </c>
      <c r="H6" s="12" t="n">
        <f aca="false">INDEX('All Seasons'!$B$14:$B$25,MATCH(7,'All Seasons'!$N$14:$N$25,0))</f>
        <v>5</v>
      </c>
      <c r="I6" s="12" t="n">
        <f aca="false">INDEX('All Seasons'!$B$14:$B$25,MATCH(8,'All Seasons'!$N$14:$N$25,0))</f>
        <v>11</v>
      </c>
      <c r="J6" s="12" t="n">
        <f aca="false">INDEX('All Seasons'!$B$14:$B$25,MATCH(9,'All Seasons'!$N$14:$N$25,0))</f>
        <v>4</v>
      </c>
      <c r="K6" s="12" t="n">
        <f aca="false">INDEX('All Seasons'!$B$14:$B$25,MATCH(10,'All Seasons'!$N$14:$N$25,0))</f>
        <v>2</v>
      </c>
      <c r="L6" s="12" t="n">
        <f aca="false">INDEX('All Seasons'!$B$14:$B$25,MATCH(11,'All Seasons'!$N$14:$N$25,0))</f>
        <v>1</v>
      </c>
      <c r="M6" s="12" t="n">
        <f aca="false">INDEX('All Seasons'!$B$14:$B$25,MATCH(12,'All Seasons'!$N$14:$N$25,0))</f>
        <v>7</v>
      </c>
      <c r="N6" s="12" t="str">
        <f aca="false">INDEX('All Seasons'!$C$14:$C$25,MATCH(1,'All Seasons'!$N$14:$N$25,0))</f>
        <v>MochaMessiahMadeMe$$</v>
      </c>
      <c r="O6" s="12" t="str">
        <f aca="false">INDEX('All Seasons'!$D$14:$D$25,MATCH(1,'All Seasons'!$N$14:$N$25,0))</f>
        <v>Keith</v>
      </c>
    </row>
    <row r="7" customFormat="false" ht="15" hidden="false" customHeight="false" outlineLevel="0" collapsed="false">
      <c r="A7" s="12" t="n">
        <v>2013</v>
      </c>
      <c r="B7" s="7" t="n">
        <f aca="false">INDEX('All Seasons'!$B$26:$B$37,MATCH(1,'All Seasons'!$N$26:$N$37,0))</f>
        <v>4</v>
      </c>
      <c r="C7" s="7" t="n">
        <f aca="false">INDEX('All Seasons'!$B$26:$B$37,MATCH(2,'All Seasons'!$N$26:$N$37,0))</f>
        <v>2</v>
      </c>
      <c r="D7" s="7" t="n">
        <f aca="false">INDEX('All Seasons'!$B$26:$B$37,MATCH(3,'All Seasons'!$N$26:$N$37,0))</f>
        <v>10</v>
      </c>
      <c r="E7" s="7" t="n">
        <f aca="false">INDEX('All Seasons'!$B$26:$B$37,MATCH(4,'All Seasons'!$N$26:$N$37,0))</f>
        <v>6</v>
      </c>
      <c r="F7" s="7" t="n">
        <f aca="false">INDEX('All Seasons'!$B$26:$B$37,MATCH(5,'All Seasons'!$N$26:$N$37,0))</f>
        <v>11</v>
      </c>
      <c r="G7" s="7" t="n">
        <f aca="false">INDEX('All Seasons'!$B$26:$B$37,MATCH(6,'All Seasons'!$N$26:$N$37,0))</f>
        <v>9</v>
      </c>
      <c r="H7" s="12" t="n">
        <f aca="false">INDEX('All Seasons'!$B$26:$B$37,MATCH(7,'All Seasons'!$N$26:$N$37,0))</f>
        <v>8</v>
      </c>
      <c r="I7" s="12" t="n">
        <f aca="false">INDEX('All Seasons'!$B$26:$B$37,MATCH(8,'All Seasons'!$N$26:$N$37,0))</f>
        <v>3</v>
      </c>
      <c r="J7" s="12" t="n">
        <f aca="false">INDEX('All Seasons'!$B$26:$B$37,MATCH(9,'All Seasons'!$N$26:$N$37,0))</f>
        <v>1</v>
      </c>
      <c r="K7" s="12" t="n">
        <f aca="false">INDEX('All Seasons'!$B$26:$B$37,MATCH(10,'All Seasons'!$N$26:$N$37,0))</f>
        <v>5</v>
      </c>
      <c r="L7" s="12" t="n">
        <f aca="false">INDEX('All Seasons'!$B$26:$B$37,MATCH(11,'All Seasons'!$N$26:$N$37,0))</f>
        <v>7</v>
      </c>
      <c r="M7" s="12" t="n">
        <f aca="false">INDEX('All Seasons'!$B$26:$B$37,MATCH(12,'All Seasons'!$N$26:$N$37,0))</f>
        <v>12</v>
      </c>
      <c r="N7" s="12" t="str">
        <f aca="false">INDEX('All Seasons'!$C$26:$C$37,MATCH(1,'All Seasons'!$N$26:$N$37,0))</f>
        <v>Big Red Machine</v>
      </c>
      <c r="O7" s="12" t="str">
        <f aca="false">INDEX('All Seasons'!$D$26:$D$37,MATCH(1,'All Seasons'!$N$26:$N$37,0))</f>
        <v>Cory</v>
      </c>
    </row>
    <row r="8" customFormat="false" ht="15" hidden="false" customHeight="false" outlineLevel="0" collapsed="false">
      <c r="A8" s="12" t="n">
        <v>2014</v>
      </c>
      <c r="B8" s="7" t="n">
        <f aca="false">INDEX('All Seasons'!$B$38:$B$49,MATCH(1,'All Seasons'!$N$38:$N$49,0))</f>
        <v>8</v>
      </c>
      <c r="C8" s="7" t="n">
        <f aca="false">INDEX('All Seasons'!$B$38:$B$49,MATCH(2,'All Seasons'!$N$38:$N$49,0))</f>
        <v>10</v>
      </c>
      <c r="D8" s="7" t="n">
        <f aca="false">INDEX('All Seasons'!$B$38:$B$49,MATCH(3,'All Seasons'!$N$38:$N$49,0))</f>
        <v>11</v>
      </c>
      <c r="E8" s="7" t="n">
        <f aca="false">INDEX('All Seasons'!$B$38:$B$49,MATCH(4,'All Seasons'!$N$38:$N$49,0))</f>
        <v>3</v>
      </c>
      <c r="F8" s="7" t="n">
        <f aca="false">INDEX('All Seasons'!$B$38:$B$49,MATCH(5,'All Seasons'!$N$38:$N$49,0))</f>
        <v>9</v>
      </c>
      <c r="G8" s="7" t="n">
        <f aca="false">INDEX('All Seasons'!$B$38:$B$49,MATCH(6,'All Seasons'!$N$38:$N$49,0))</f>
        <v>5</v>
      </c>
      <c r="H8" s="12" t="n">
        <f aca="false">INDEX('All Seasons'!$B$38:$B$49,MATCH(7,'All Seasons'!$N$38:$N$49,0))</f>
        <v>2</v>
      </c>
      <c r="I8" s="12" t="n">
        <f aca="false">INDEX('All Seasons'!$B$38:$B$49,MATCH(8,'All Seasons'!$N$38:$N$49,0))</f>
        <v>7</v>
      </c>
      <c r="J8" s="12" t="n">
        <f aca="false">INDEX('All Seasons'!$B$38:$B$49,MATCH(9,'All Seasons'!$N$38:$N$49,0))</f>
        <v>1</v>
      </c>
      <c r="K8" s="12" t="n">
        <f aca="false">INDEX('All Seasons'!$B$38:$B$49,MATCH(10,'All Seasons'!$N$38:$N$49,0))</f>
        <v>12</v>
      </c>
      <c r="L8" s="12" t="n">
        <f aca="false">INDEX('All Seasons'!$B$38:$B$49,MATCH(11,'All Seasons'!$N$38:$N$49,0))</f>
        <v>4</v>
      </c>
      <c r="M8" s="12" t="n">
        <f aca="false">INDEX('All Seasons'!$B$38:$B$49,MATCH(12,'All Seasons'!$N$38:$N$49,0))</f>
        <v>6</v>
      </c>
      <c r="N8" s="12" t="str">
        <f aca="false">INDEX('All Seasons'!$C$38:$C$49,MATCH(1,'All Seasons'!$N$38:$N$49,0))</f>
        <v>Big Red Machine</v>
      </c>
      <c r="O8" s="12" t="str">
        <f aca="false">INDEX('All Seasons'!$D$38:$D$49,MATCH(1,'All Seasons'!$N$38:$N$49,0))</f>
        <v>Cory</v>
      </c>
    </row>
    <row r="9" customFormat="false" ht="15" hidden="false" customHeight="false" outlineLevel="0" collapsed="false">
      <c r="A9" s="12" t="n">
        <v>2015</v>
      </c>
      <c r="B9" s="7" t="n">
        <f aca="false">INDEX('All Seasons'!$B$50:$B$61,MATCH(1,'All Seasons'!$N$50:$N$61,0))</f>
        <v>10</v>
      </c>
      <c r="C9" s="7" t="n">
        <f aca="false">INDEX('All Seasons'!$B$50:$B$61,MATCH(2,'All Seasons'!$N$50:$N$61,0))</f>
        <v>1</v>
      </c>
      <c r="D9" s="7" t="n">
        <f aca="false">INDEX('All Seasons'!$B$50:$B$61,MATCH(3,'All Seasons'!$N$50:$N$61,0))</f>
        <v>9</v>
      </c>
      <c r="E9" s="7" t="n">
        <f aca="false">INDEX('All Seasons'!$B$50:$B$61,MATCH(4,'All Seasons'!$N$50:$N$61,0))</f>
        <v>4</v>
      </c>
      <c r="F9" s="7" t="n">
        <f aca="false">INDEX('All Seasons'!$B$50:$B$61,MATCH(5,'All Seasons'!$N$50:$N$61,0))</f>
        <v>2</v>
      </c>
      <c r="G9" s="7" t="n">
        <f aca="false">INDEX('All Seasons'!$B$50:$B$61,MATCH(6,'All Seasons'!$N$50:$N$61,0))</f>
        <v>7</v>
      </c>
      <c r="H9" s="12" t="n">
        <f aca="false">INDEX('All Seasons'!$B$50:$B$61,MATCH(7,'All Seasons'!$N$50:$N$61,0))</f>
        <v>12</v>
      </c>
      <c r="I9" s="12" t="n">
        <f aca="false">INDEX('All Seasons'!$B$50:$B$61,MATCH(8,'All Seasons'!$N$50:$N$61,0))</f>
        <v>8</v>
      </c>
      <c r="J9" s="12" t="n">
        <f aca="false">INDEX('All Seasons'!$B$50:$B$61,MATCH(9,'All Seasons'!$N$50:$N$61,0))</f>
        <v>11</v>
      </c>
      <c r="K9" s="12" t="n">
        <f aca="false">INDEX('All Seasons'!$B$50:$B$61,MATCH(10,'All Seasons'!$N$50:$N$61,0))</f>
        <v>6</v>
      </c>
      <c r="L9" s="12" t="n">
        <f aca="false">INDEX('All Seasons'!$B$50:$B$61,MATCH(11,'All Seasons'!$N$50:$N$61,0))</f>
        <v>3</v>
      </c>
      <c r="M9" s="12" t="n">
        <f aca="false">INDEX('All Seasons'!$B$50:$B$61,MATCH(12,'All Seasons'!$N$50:$N$61,0))</f>
        <v>5</v>
      </c>
      <c r="N9" s="12" t="str">
        <f aca="false">INDEX('All Seasons'!$C$50:$C$61,MATCH(1,'All Seasons'!$N$50:$N$61,0))</f>
        <v>Crackerman</v>
      </c>
      <c r="O9" s="12" t="str">
        <f aca="false">INDEX('All Seasons'!$D$50:$D$61,MATCH(1,'All Seasons'!$N$50:$N$61,0))</f>
        <v>Michael M</v>
      </c>
    </row>
    <row r="10" customFormat="false" ht="15" hidden="false" customHeight="false" outlineLevel="0" collapsed="false">
      <c r="A10" s="12" t="n">
        <v>2016</v>
      </c>
      <c r="B10" s="7" t="n">
        <f aca="false">INDEX('All Seasons'!$B$62:$B$73,MATCH(1,'All Seasons'!$N$62:$N$73,0))</f>
        <v>1</v>
      </c>
      <c r="C10" s="7" t="n">
        <f aca="false">INDEX('All Seasons'!$B$62:$B$73,MATCH(2,'All Seasons'!$N$62:$N$73,0))</f>
        <v>3</v>
      </c>
      <c r="D10" s="7" t="n">
        <f aca="false">INDEX('All Seasons'!$B$62:$B$73,MATCH(3,'All Seasons'!$N$62:$N$73,0))</f>
        <v>5</v>
      </c>
      <c r="E10" s="7" t="n">
        <f aca="false">INDEX('All Seasons'!$B$62:$B$73,MATCH(4,'All Seasons'!$N$62:$N$73,0))</f>
        <v>4</v>
      </c>
      <c r="F10" s="7" t="n">
        <f aca="false">INDEX('All Seasons'!$B$62:$B$73,MATCH(5,'All Seasons'!$N$62:$N$73,0))</f>
        <v>11</v>
      </c>
      <c r="G10" s="7" t="n">
        <f aca="false">INDEX('All Seasons'!$B$62:$B$73,MATCH(6,'All Seasons'!$N$62:$N$73,0))</f>
        <v>8</v>
      </c>
      <c r="H10" s="12" t="n">
        <f aca="false">INDEX('All Seasons'!$B$62:$B$73,MATCH(7,'All Seasons'!$N$62:$N$73,0))</f>
        <v>2</v>
      </c>
      <c r="I10" s="12" t="n">
        <f aca="false">INDEX('All Seasons'!$B$62:$B$73,MATCH(8,'All Seasons'!$N$62:$N$73,0))</f>
        <v>6</v>
      </c>
      <c r="J10" s="12" t="n">
        <f aca="false">INDEX('All Seasons'!$B$62:$B$73,MATCH(9,'All Seasons'!$N$62:$N$73,0))</f>
        <v>10</v>
      </c>
      <c r="K10" s="12" t="n">
        <f aca="false">INDEX('All Seasons'!$B$62:$B$73,MATCH(10,'All Seasons'!$N$62:$N$73,0))</f>
        <v>9</v>
      </c>
      <c r="L10" s="12" t="n">
        <f aca="false">INDEX('All Seasons'!$B$62:$B$73,MATCH(11,'All Seasons'!$N$62:$N$73,0))</f>
        <v>12</v>
      </c>
      <c r="M10" s="12" t="n">
        <f aca="false">INDEX('All Seasons'!$B$62:$B$73,MATCH(12,'All Seasons'!$N$62:$N$73,0))</f>
        <v>7</v>
      </c>
      <c r="N10" s="12" t="str">
        <f aca="false">INDEX('All Seasons'!$C$62:$C$73,MATCH(1,'All Seasons'!$N$62:$N$73,0))</f>
        <v>Donkey Punchers</v>
      </c>
      <c r="O10" s="12" t="str">
        <f aca="false">INDEX('All Seasons'!$D$62:$D$73,MATCH(1,'All Seasons'!$N$62:$N$73,0))</f>
        <v>Barrett</v>
      </c>
    </row>
    <row r="11" customFormat="false" ht="15" hidden="false" customHeight="false" outlineLevel="0" collapsed="false">
      <c r="A11" s="12" t="n">
        <v>2017</v>
      </c>
      <c r="B11" s="7" t="n">
        <f aca="false">INDEX('All Seasons'!$B$74:$B$85,MATCH(1,'All Seasons'!$N$74:$N$85,0))</f>
        <v>5</v>
      </c>
      <c r="C11" s="7" t="n">
        <f aca="false">INDEX('All Seasons'!$B$74:$B$85,MATCH(2,'All Seasons'!$N$74:$N$85,0))</f>
        <v>3</v>
      </c>
      <c r="D11" s="7" t="n">
        <f aca="false">INDEX('All Seasons'!$B$74:$B$85,MATCH(3,'All Seasons'!$N$74:$N$85,0))</f>
        <v>12</v>
      </c>
      <c r="E11" s="7" t="n">
        <f aca="false">INDEX('All Seasons'!$B$74:$B$85,MATCH(4,'All Seasons'!$N$74:$N$85,0))</f>
        <v>1</v>
      </c>
      <c r="F11" s="7" t="n">
        <f aca="false">INDEX('All Seasons'!$B$74:$B$85,MATCH(5,'All Seasons'!$N$74:$N$85,0))</f>
        <v>11</v>
      </c>
      <c r="G11" s="7" t="n">
        <f aca="false">INDEX('All Seasons'!$B$74:$B$85,MATCH(6,'All Seasons'!$N$74:$N$85,0))</f>
        <v>9</v>
      </c>
      <c r="H11" s="12" t="n">
        <f aca="false">INDEX('All Seasons'!$B$74:$B$85,MATCH(7,'All Seasons'!$N$74:$N$85,0))</f>
        <v>4</v>
      </c>
      <c r="I11" s="12" t="n">
        <f aca="false">INDEX('All Seasons'!$B$74:$B$85,MATCH(8,'All Seasons'!$N$74:$N$85,0))</f>
        <v>7</v>
      </c>
      <c r="J11" s="12" t="n">
        <f aca="false">INDEX('All Seasons'!$B$74:$B$85,MATCH(9,'All Seasons'!$N$74:$N$85,0))</f>
        <v>6</v>
      </c>
      <c r="K11" s="12" t="n">
        <f aca="false">INDEX('All Seasons'!$B$74:$B$85,MATCH(10,'All Seasons'!$N$74:$N$85,0))</f>
        <v>2</v>
      </c>
      <c r="L11" s="12" t="n">
        <f aca="false">INDEX('All Seasons'!$B$74:$B$85,MATCH(11,'All Seasons'!$N$74:$N$85,0))</f>
        <v>10</v>
      </c>
      <c r="M11" s="12" t="n">
        <f aca="false">INDEX('All Seasons'!$B$74:$B$85,MATCH(12,'All Seasons'!$N$74:$N$85,0))</f>
        <v>8</v>
      </c>
      <c r="N11" s="12" t="str">
        <f aca="false">INDEX('All Seasons'!$C$74:$C$85,MATCH(1,'All Seasons'!$N$74:$N$85,0))</f>
        <v>Closer</v>
      </c>
      <c r="O11" s="12" t="str">
        <f aca="false">INDEX('All Seasons'!$D$74:$D$85,MATCH(1,'All Seasons'!$N$74:$N$85,0))</f>
        <v>Rick</v>
      </c>
    </row>
    <row r="12" customFormat="false" ht="15" hidden="false" customHeight="false" outlineLevel="0" collapsed="false">
      <c r="A12" s="12" t="n">
        <v>2018</v>
      </c>
      <c r="B12" s="7" t="n">
        <f aca="false">INDEX('All Seasons'!$B$86:$B$97,MATCH(1,'All Seasons'!$N$86:$N$97,0))</f>
        <v>8</v>
      </c>
      <c r="C12" s="7" t="n">
        <f aca="false">INDEX('All Seasons'!$B$86:$B$97,MATCH(2,'All Seasons'!$N$86:$N$97,0))</f>
        <v>1</v>
      </c>
      <c r="D12" s="7" t="n">
        <f aca="false">INDEX('All Seasons'!$B$86:$B$97,MATCH(3,'All Seasons'!$N$86:$N$97,0))</f>
        <v>12</v>
      </c>
      <c r="E12" s="7" t="n">
        <f aca="false">INDEX('All Seasons'!$B$86:$B$97,MATCH(4,'All Seasons'!$N$86:$N$97,0))</f>
        <v>9</v>
      </c>
      <c r="F12" s="7" t="n">
        <f aca="false">INDEX('All Seasons'!$B$86:$B$97,MATCH(5,'All Seasons'!$N$86:$N$97,0))</f>
        <v>4</v>
      </c>
      <c r="G12" s="7" t="n">
        <f aca="false">INDEX('All Seasons'!$B$86:$B$97,MATCH(6,'All Seasons'!$N$86:$N$97,0))</f>
        <v>3</v>
      </c>
      <c r="H12" s="12" t="n">
        <f aca="false">INDEX('All Seasons'!$B$86:$B$97,MATCH(7,'All Seasons'!$N$86:$N$97,0))</f>
        <v>6</v>
      </c>
      <c r="I12" s="12" t="n">
        <f aca="false">INDEX('All Seasons'!$B$86:$B$97,MATCH(8,'All Seasons'!$N$86:$N$97,0))</f>
        <v>2</v>
      </c>
      <c r="J12" s="12" t="n">
        <f aca="false">INDEX('All Seasons'!$B$86:$B$97,MATCH(9,'All Seasons'!$N$86:$N$97,0))</f>
        <v>7</v>
      </c>
      <c r="K12" s="12" t="n">
        <f aca="false">INDEX('All Seasons'!$B$86:$B$97,MATCH(10,'All Seasons'!$N$86:$N$97,0))</f>
        <v>11</v>
      </c>
      <c r="L12" s="12" t="n">
        <f aca="false">INDEX('All Seasons'!$B$86:$B$97,MATCH(11,'All Seasons'!$N$86:$N$97,0))</f>
        <v>5</v>
      </c>
      <c r="M12" s="12" t="n">
        <f aca="false">INDEX('All Seasons'!$B$86:$B$97,MATCH(12,'All Seasons'!$N$86:$N$97,0))</f>
        <v>10</v>
      </c>
      <c r="N12" s="12" t="str">
        <f aca="false">INDEX('All Seasons'!$C$86:$C$97,MATCH(1,'All Seasons'!$N$86:$N$97,0))</f>
        <v>Closer</v>
      </c>
      <c r="O12" s="12" t="str">
        <f aca="false">INDEX('All Seasons'!$D$86:$D$97,MATCH(1,'All Seasons'!$N$86:$N$97,0))</f>
        <v>Rick</v>
      </c>
    </row>
    <row r="13" customFormat="false" ht="15" hidden="false" customHeight="false" outlineLevel="0" collapsed="false">
      <c r="A13" s="12" t="n">
        <v>2019</v>
      </c>
      <c r="B13" s="7" t="n">
        <f aca="false">INDEX('All Seasons'!$B$98:$B$109,MATCH(1,'All Seasons'!$N$98:$N$109,0))</f>
        <v>8</v>
      </c>
      <c r="C13" s="7" t="n">
        <f aca="false">INDEX('All Seasons'!$B$98:$B$109,MATCH(2,'All Seasons'!$N$98:$N$109,0))</f>
        <v>10</v>
      </c>
      <c r="D13" s="7" t="n">
        <f aca="false">INDEX('All Seasons'!$B$98:$B$109,MATCH(3,'All Seasons'!$N$98:$N$109,0))</f>
        <v>9</v>
      </c>
      <c r="E13" s="7" t="n">
        <f aca="false">INDEX('All Seasons'!$B$98:$B$109,MATCH(4,'All Seasons'!$N$98:$N$109,0))</f>
        <v>5</v>
      </c>
      <c r="F13" s="7" t="n">
        <f aca="false">INDEX('All Seasons'!$B$98:$B$109,MATCH(5,'All Seasons'!$N$98:$N$109,0))</f>
        <v>4</v>
      </c>
      <c r="G13" s="7" t="n">
        <f aca="false">INDEX('All Seasons'!$B$98:$B$109,MATCH(6,'All Seasons'!$N$98:$N$109,0))</f>
        <v>3</v>
      </c>
      <c r="H13" s="12" t="n">
        <f aca="false">INDEX('All Seasons'!$B$98:$B$109,MATCH(7,'All Seasons'!$N$98:$N$109,0))</f>
        <v>1</v>
      </c>
      <c r="I13" s="12" t="n">
        <f aca="false">INDEX('All Seasons'!$B$98:$B$109,MATCH(8,'All Seasons'!$N$98:$N$109,0))</f>
        <v>7</v>
      </c>
      <c r="J13" s="12" t="n">
        <f aca="false">INDEX('All Seasons'!$B$98:$B$109,MATCH(9,'All Seasons'!$N$98:$N$109,0))</f>
        <v>6</v>
      </c>
      <c r="K13" s="12" t="n">
        <f aca="false">INDEX('All Seasons'!$B$98:$B$109,MATCH(10,'All Seasons'!$N$98:$N$109,0))</f>
        <v>12</v>
      </c>
      <c r="L13" s="12" t="n">
        <f aca="false">INDEX('All Seasons'!$B$98:$B$109,MATCH(11,'All Seasons'!$N$98:$N$109,0))</f>
        <v>2</v>
      </c>
      <c r="M13" s="12" t="n">
        <f aca="false">INDEX('All Seasons'!$B$98:$B$109,MATCH(12,'All Seasons'!$N$98:$N$109,0))</f>
        <v>11</v>
      </c>
      <c r="N13" s="12" t="str">
        <f aca="false">INDEX('All Seasons'!$C$98:$C$109,MATCH(1,'All Seasons'!$N$98:$N$109,0))</f>
        <v>RedNecks</v>
      </c>
      <c r="O13" s="12" t="str">
        <f aca="false">INDEX('All Seasons'!$D$98:$D$109,MATCH(1,'All Seasons'!$N$98:$N$109,0))</f>
        <v>Jim</v>
      </c>
    </row>
    <row r="14" customFormat="false" ht="15" hidden="false" customHeight="false" outlineLevel="0" collapsed="false">
      <c r="A14" s="12" t="n">
        <v>2020</v>
      </c>
      <c r="B14" s="7" t="n">
        <f aca="false">INDEX('All Seasons'!$B$110:$B$121,MATCH(1,'All Seasons'!$N$110:$N$121,0))</f>
        <v>6</v>
      </c>
      <c r="C14" s="7" t="n">
        <f aca="false">INDEX('All Seasons'!$B$110:$B$121,MATCH(2,'All Seasons'!$N$110:$N$121,0))</f>
        <v>9</v>
      </c>
      <c r="D14" s="7" t="n">
        <f aca="false">INDEX('All Seasons'!$B$110:$B$121,MATCH(3,'All Seasons'!$N$110:$N$121,0))</f>
        <v>5</v>
      </c>
      <c r="E14" s="7" t="n">
        <f aca="false">INDEX('All Seasons'!$B$110:$B$121,MATCH(4,'All Seasons'!$N$110:$N$121,0))</f>
        <v>12</v>
      </c>
      <c r="F14" s="7" t="n">
        <f aca="false">INDEX('All Seasons'!$B$110:$B$121,MATCH(5,'All Seasons'!$N$110:$N$121,0))</f>
        <v>11</v>
      </c>
      <c r="G14" s="7" t="n">
        <f aca="false">INDEX('All Seasons'!$B$110:$B$121,MATCH(6,'All Seasons'!$N$110:$N$121,0))</f>
        <v>3</v>
      </c>
      <c r="H14" s="12" t="n">
        <f aca="false">INDEX('All Seasons'!$B$110:$B$121,MATCH(7,'All Seasons'!$N$110:$N$121,0))</f>
        <v>7</v>
      </c>
      <c r="I14" s="12" t="n">
        <f aca="false">INDEX('All Seasons'!$B$110:$B$121,MATCH(8,'All Seasons'!$N$110:$N$121,0))</f>
        <v>4</v>
      </c>
      <c r="J14" s="12" t="n">
        <f aca="false">INDEX('All Seasons'!$B$110:$B$121,MATCH(9,'All Seasons'!$N$110:$N$121,0))</f>
        <v>2</v>
      </c>
      <c r="K14" s="12" t="n">
        <f aca="false">INDEX('All Seasons'!$B$110:$B$121,MATCH(10,'All Seasons'!$N$110:$N$121,0))</f>
        <v>10</v>
      </c>
      <c r="L14" s="12" t="n">
        <f aca="false">INDEX('All Seasons'!$B$110:$B$121,MATCH(11,'All Seasons'!$N$110:$N$121,0))</f>
        <v>8</v>
      </c>
      <c r="M14" s="12" t="n">
        <f aca="false">INDEX('All Seasons'!$B$110:$B$121,MATCH(12,'All Seasons'!$N$110:$N$121,0))</f>
        <v>1</v>
      </c>
      <c r="N14" s="12" t="str">
        <f aca="false">INDEX('All Seasons'!$C$110:$C$121,MATCH(1,'All Seasons'!$N$110:$N$121,0))</f>
        <v>#YouToo</v>
      </c>
      <c r="O14" s="12" t="str">
        <f aca="false">INDEX('All Seasons'!$D$110:$D$121,MATCH(1,'All Seasons'!$N$110:$N$121,0))</f>
        <v>Keith</v>
      </c>
    </row>
    <row r="15" customFormat="false" ht="15" hidden="false" customHeight="false" outlineLevel="0" collapsed="false">
      <c r="A15" s="12" t="n">
        <v>2021</v>
      </c>
      <c r="B15" s="7" t="n">
        <f aca="false">INDEX('All Seasons'!$B$122:$B$133,MATCH(1,'All Seasons'!$N$122:$N$133,0))</f>
        <v>8</v>
      </c>
      <c r="C15" s="7" t="n">
        <f aca="false">INDEX('All Seasons'!$B$122:$B$133,MATCH(2,'All Seasons'!$N$122:$N$133,0))</f>
        <v>10</v>
      </c>
      <c r="D15" s="7" t="n">
        <f aca="false">INDEX('All Seasons'!$B$122:$B$133,MATCH(3,'All Seasons'!$N$122:$N$133,0))</f>
        <v>7</v>
      </c>
      <c r="E15" s="7" t="n">
        <f aca="false">INDEX('All Seasons'!$B$122:$B$133,MATCH(4,'All Seasons'!$N$122:$N$133,0))</f>
        <v>3</v>
      </c>
      <c r="F15" s="7" t="n">
        <f aca="false">INDEX('All Seasons'!$B$122:$B$133,MATCH(5,'All Seasons'!$N$122:$N$133,0))</f>
        <v>5</v>
      </c>
      <c r="G15" s="7" t="n">
        <f aca="false">INDEX('All Seasons'!$B$122:$B$133,MATCH(6,'All Seasons'!$N$122:$N$133,0))</f>
        <v>4</v>
      </c>
      <c r="H15" s="12" t="n">
        <f aca="false">INDEX('All Seasons'!$B$122:$B$133,MATCH(7,'All Seasons'!$N$122:$N$133,0))</f>
        <v>9</v>
      </c>
      <c r="I15" s="12" t="n">
        <f aca="false">INDEX('All Seasons'!$B$122:$B$133,MATCH(8,'All Seasons'!$N$122:$N$133,0))</f>
        <v>2</v>
      </c>
      <c r="J15" s="12" t="n">
        <f aca="false">INDEX('All Seasons'!$B$122:$B$133,MATCH(9,'All Seasons'!$N$122:$N$133,0))</f>
        <v>1</v>
      </c>
      <c r="K15" s="12" t="n">
        <f aca="false">INDEX('All Seasons'!$B$122:$B$133,MATCH(10,'All Seasons'!$N$122:$N$133,0))</f>
        <v>6</v>
      </c>
      <c r="L15" s="12" t="n">
        <f aca="false">INDEX('All Seasons'!$B$122:$B$133,MATCH(11,'All Seasons'!$N$122:$N$133,0))</f>
        <v>12</v>
      </c>
      <c r="M15" s="12" t="n">
        <f aca="false">INDEX('All Seasons'!$B$122:$B$133,MATCH(12,'All Seasons'!$N$122:$N$133,0))</f>
        <v>11</v>
      </c>
      <c r="N15" s="12" t="str">
        <f aca="false">INDEX('All Seasons'!$C$122:$C$133,MATCH(1,'All Seasons'!$N$122:$N$133,0))</f>
        <v>Donkey Punchers</v>
      </c>
      <c r="O15" s="12" t="str">
        <f aca="false">INDEX('All Seasons'!$D$122:$D$133,MATCH(1,'All Seasons'!$N$122:$N$133,0))</f>
        <v>Barrett</v>
      </c>
    </row>
    <row r="16" customFormat="false" ht="15" hidden="false" customHeight="false" outlineLevel="0" collapsed="false">
      <c r="A16" s="12" t="n">
        <v>2022</v>
      </c>
      <c r="B16" s="7" t="n">
        <f aca="false">INDEX('All Seasons'!$B$134:$B$145,MATCH(1,'All Seasons'!$N$134:$N$145,0))</f>
        <v>8</v>
      </c>
      <c r="C16" s="7" t="n">
        <f aca="false">INDEX('All Seasons'!$B$134:$B$145,MATCH(2,'All Seasons'!$N$134:$N$145,0))</f>
        <v>12</v>
      </c>
      <c r="D16" s="7" t="n">
        <f aca="false">INDEX('All Seasons'!$B$134:$B$145,MATCH(3,'All Seasons'!$N$134:$N$145,0))</f>
        <v>2</v>
      </c>
      <c r="E16" s="7" t="n">
        <f aca="false">INDEX('All Seasons'!$B$134:$B$145,MATCH(4,'All Seasons'!$N$134:$N$145,0))</f>
        <v>3</v>
      </c>
      <c r="F16" s="7" t="n">
        <f aca="false">INDEX('All Seasons'!$B$134:$B$145,MATCH(5,'All Seasons'!$N$134:$N$145,0))</f>
        <v>5</v>
      </c>
      <c r="G16" s="7" t="n">
        <f aca="false">INDEX('All Seasons'!$B$134:$B$145,MATCH(6,'All Seasons'!$N$134:$N$145,0))</f>
        <v>4</v>
      </c>
      <c r="H16" s="12" t="n">
        <f aca="false">INDEX('All Seasons'!$B$134:$B$145,MATCH(7,'All Seasons'!$N$134:$N$145,0))</f>
        <v>1</v>
      </c>
      <c r="I16" s="12" t="n">
        <f aca="false">INDEX('All Seasons'!$B$134:$B$145,MATCH(8,'All Seasons'!$N$134:$N$145,0))</f>
        <v>9</v>
      </c>
      <c r="J16" s="12" t="n">
        <f aca="false">INDEX('All Seasons'!$B$134:$B$145,MATCH(9,'All Seasons'!$N$134:$N$145,0))</f>
        <v>10</v>
      </c>
      <c r="K16" s="12" t="n">
        <f aca="false">INDEX('All Seasons'!$B$134:$B$145,MATCH(10,'All Seasons'!$N$134:$N$145,0))</f>
        <v>6</v>
      </c>
      <c r="L16" s="12" t="n">
        <f aca="false">INDEX('All Seasons'!$B$134:$B$145,MATCH(11,'All Seasons'!$N$134:$N$145,0))</f>
        <v>11</v>
      </c>
      <c r="M16" s="12" t="n">
        <f aca="false">INDEX('All Seasons'!$B$134:$B$145,MATCH(12,'All Seasons'!$N$134:$N$145,0))</f>
        <v>7</v>
      </c>
      <c r="N16" s="12" t="str">
        <f aca="false">INDEX('All Seasons'!$C$134:$C$145,MATCH(1,'All Seasons'!$N$134:$N$145,0))</f>
        <v>PornStache</v>
      </c>
      <c r="O16" s="12" t="str">
        <f aca="false">INDEX('All Seasons'!$D$134:$D$145,MATCH(1,'All Seasons'!$N$134:$N$145,0))</f>
        <v>Jim</v>
      </c>
    </row>
    <row r="17" customFormat="false" ht="15" hidden="false" customHeight="false" outlineLevel="0" collapsed="false">
      <c r="A17" s="12" t="n">
        <v>2023</v>
      </c>
      <c r="B17" s="7" t="n">
        <f aca="false">INDEX('All Seasons'!$B$146:$B$157,MATCH(1,'All Seasons'!$N$146:$N$157,0))</f>
        <v>9</v>
      </c>
      <c r="C17" s="7" t="n">
        <f aca="false">INDEX('All Seasons'!$B$146:$B$157,MATCH(2,'All Seasons'!$N$146:$N$157,0))</f>
        <v>5</v>
      </c>
      <c r="D17" s="7" t="n">
        <f aca="false">INDEX('All Seasons'!$B$146:$B$157,MATCH(3,'All Seasons'!$N$146:$N$157,0))</f>
        <v>11</v>
      </c>
      <c r="E17" s="7" t="n">
        <f aca="false">INDEX('All Seasons'!$B$146:$B$157,MATCH(4,'All Seasons'!$N$146:$N$157,0))</f>
        <v>12</v>
      </c>
      <c r="F17" s="7" t="n">
        <f aca="false">INDEX('All Seasons'!$B$146:$B$157,MATCH(5,'All Seasons'!$N$146:$N$157,0))</f>
        <v>10</v>
      </c>
      <c r="G17" s="7" t="n">
        <f aca="false">INDEX('All Seasons'!$B$146:$B$157,MATCH(6,'All Seasons'!$N$146:$N$157,0))</f>
        <v>3</v>
      </c>
      <c r="H17" s="12" t="n">
        <f aca="false">INDEX('All Seasons'!$B$146:$B$157,MATCH(7,'All Seasons'!$N$146:$N$157,0))</f>
        <v>1</v>
      </c>
      <c r="I17" s="12" t="n">
        <f aca="false">INDEX('All Seasons'!$B$146:$B$157,MATCH(8,'All Seasons'!$N$146:$N$157,0))</f>
        <v>6</v>
      </c>
      <c r="J17" s="12" t="n">
        <f aca="false">INDEX('All Seasons'!$B$146:$B$157,MATCH(9,'All Seasons'!$N$146:$N$157,0))</f>
        <v>7</v>
      </c>
      <c r="K17" s="12" t="n">
        <f aca="false">INDEX('All Seasons'!$B$146:$B$157,MATCH(10,'All Seasons'!$N$146:$N$157,0))</f>
        <v>4</v>
      </c>
      <c r="L17" s="12" t="n">
        <f aca="false">INDEX('All Seasons'!$B$146:$B$157,MATCH(11,'All Seasons'!$N$146:$N$157,0))</f>
        <v>2</v>
      </c>
      <c r="M17" s="12" t="n">
        <f aca="false">INDEX('All Seasons'!$B$146:$B$157,MATCH(12,'All Seasons'!$N$146:$N$157,0))</f>
        <v>8</v>
      </c>
      <c r="N17" s="12" t="str">
        <f aca="false">INDEX('All Seasons'!$C$146:$C$157,MATCH(1,'All Seasons'!$N$146:$N$157,0))</f>
        <v>AssKickers</v>
      </c>
      <c r="O17" s="12" t="str">
        <f aca="false">INDEX('All Seasons'!$D$146:$D$157,MATCH(1,'All Seasons'!$N$146:$N$157,0))</f>
        <v>Rob M</v>
      </c>
    </row>
    <row r="18" customFormat="false" ht="15" hidden="false" customHeight="false" outlineLevel="0" collapsed="false">
      <c r="A18" s="12" t="n">
        <v>2024</v>
      </c>
      <c r="B18" s="7" t="n">
        <f aca="false">INDEX('All Seasons'!$B$158:$B$169,MATCH(1,'All Seasons'!$N$158:$N$169,0))</f>
        <v>2</v>
      </c>
      <c r="C18" s="7" t="n">
        <f aca="false">INDEX('All Seasons'!$B$158:$B$169,MATCH(2,'All Seasons'!$N$158:$N$169,0))</f>
        <v>3</v>
      </c>
      <c r="D18" s="7" t="n">
        <f aca="false">INDEX('All Seasons'!$B$158:$B$169,MATCH(3,'All Seasons'!$N$158:$N$169,0))</f>
        <v>6</v>
      </c>
      <c r="E18" s="7" t="n">
        <f aca="false">INDEX('All Seasons'!$B$158:$B$169,MATCH(4,'All Seasons'!$N$158:$N$169,0))</f>
        <v>5</v>
      </c>
      <c r="F18" s="7" t="n">
        <f aca="false">INDEX('All Seasons'!$B$158:$B$169,MATCH(5,'All Seasons'!$N$158:$N$169,0))</f>
        <v>9</v>
      </c>
      <c r="G18" s="7" t="n">
        <f aca="false">INDEX('All Seasons'!$B$158:$B$169,MATCH(6,'All Seasons'!$N$158:$N$169,0))</f>
        <v>11</v>
      </c>
      <c r="H18" s="12" t="n">
        <f aca="false">INDEX('All Seasons'!$B$158:$B$169,MATCH(7,'All Seasons'!$N$158:$N$169,0))</f>
        <v>10</v>
      </c>
      <c r="I18" s="12" t="n">
        <f aca="false">INDEX('All Seasons'!$B$158:$B$169,MATCH(8,'All Seasons'!$N$158:$N$169,0))</f>
        <v>7</v>
      </c>
      <c r="J18" s="12" t="n">
        <f aca="false">INDEX('All Seasons'!$B$158:$B$169,MATCH(9,'All Seasons'!$N$158:$N$169,0))</f>
        <v>8</v>
      </c>
      <c r="K18" s="12" t="n">
        <f aca="false">INDEX('All Seasons'!$B$158:$B$169,MATCH(10,'All Seasons'!$N$158:$N$169,0))</f>
        <v>4</v>
      </c>
      <c r="L18" s="12" t="n">
        <f aca="false">INDEX('All Seasons'!$B$158:$B$169,MATCH(11,'All Seasons'!$N$158:$N$169,0))</f>
        <v>1</v>
      </c>
      <c r="M18" s="12" t="n">
        <f aca="false">INDEX('All Seasons'!$B$158:$B$169,MATCH(12,'All Seasons'!$N$158:$N$169,0))</f>
        <v>12</v>
      </c>
      <c r="N18" s="12" t="str">
        <f aca="false">INDEX('All Seasons'!$C$158:$C$169,MATCH(1,'All Seasons'!$N$158:$N$169,0))</f>
        <v>Scott's Scabs</v>
      </c>
      <c r="O18" s="12" t="str">
        <f aca="false">INDEX('All Seasons'!$D$158:$D$169,MATCH(1,'All Seasons'!$N$158:$N$169,0))</f>
        <v>Scott</v>
      </c>
    </row>
    <row r="19" customFormat="false" ht="15" hidden="false" customHeight="false" outlineLevel="0" collapsed="false">
      <c r="A19" s="12" t="n">
        <v>2025</v>
      </c>
      <c r="B19" s="7" t="n">
        <f aca="false">INDEX('All Seasons'!$B$170:$B$181,MATCH(1,'All Seasons'!$N$170:$N$181,0))</f>
        <v>2</v>
      </c>
      <c r="C19" s="7" t="n">
        <f aca="false">INDEX('All Seasons'!$B$170:$B$181,MATCH(2,'All Seasons'!$N$170:$N$181,0))</f>
        <v>11</v>
      </c>
      <c r="D19" s="7" t="n">
        <f aca="false">INDEX('All Seasons'!$B$170:$B$181,MATCH(3,'All Seasons'!$N$170:$N$181,0))</f>
        <v>6</v>
      </c>
      <c r="E19" s="7" t="n">
        <f aca="false">INDEX('All Seasons'!$B$170:$B$181,MATCH(4,'All Seasons'!$N$170:$N$181,0))</f>
        <v>1</v>
      </c>
      <c r="F19" s="7" t="n">
        <f aca="false">INDEX('All Seasons'!$B$170:$B$181,MATCH(5,'All Seasons'!$N$170:$N$181,0))</f>
        <v>12</v>
      </c>
      <c r="G19" s="7" t="n">
        <f aca="false">INDEX('All Seasons'!$B$170:$B$181,MATCH(6,'All Seasons'!$N$170:$N$181,0))</f>
        <v>4</v>
      </c>
      <c r="H19" s="12" t="n">
        <f aca="false">INDEX('All Seasons'!$B$170:$B$181,MATCH(7,'All Seasons'!$N$170:$N$181,0))</f>
        <v>8</v>
      </c>
      <c r="I19" s="12" t="n">
        <f aca="false">INDEX('All Seasons'!$B$170:$B$181,MATCH(8,'All Seasons'!$N$170:$N$181,0))</f>
        <v>3</v>
      </c>
      <c r="J19" s="12" t="n">
        <f aca="false">INDEX('All Seasons'!$B$170:$B$181,MATCH(9,'All Seasons'!$N$170:$N$181,0))</f>
        <v>7</v>
      </c>
      <c r="K19" s="12" t="n">
        <f aca="false">INDEX('All Seasons'!$B$170:$B$181,MATCH(10,'All Seasons'!$N$170:$N$181,0))</f>
        <v>10</v>
      </c>
      <c r="L19" s="12" t="n">
        <f aca="false">INDEX('All Seasons'!$B$170:$B$181,MATCH(11,'All Seasons'!$N$170:$N$181,0))</f>
        <v>9</v>
      </c>
      <c r="M19" s="12" t="n">
        <f aca="false">INDEX('All Seasons'!$B$170:$B$181,MATCH(12,'All Seasons'!$N$170:$N$181,0))</f>
        <v>5</v>
      </c>
      <c r="N19" s="12" t="str">
        <f aca="false">INDEX('All Seasons'!$C$170:$C$181,MATCH(1,'All Seasons'!$N$170:$N$181,0))</f>
        <v>Hold My Beer</v>
      </c>
      <c r="O19" s="12" t="str">
        <f aca="false">INDEX('All Seasons'!$D$170:$D$181,MATCH(1,'All Seasons'!$N$170:$N$181,0))</f>
        <v>J</v>
      </c>
    </row>
    <row r="22" customFormat="false" ht="15" hidden="false" customHeight="false" outlineLevel="0" collapsed="false">
      <c r="A22" s="5" t="s">
        <v>202</v>
      </c>
    </row>
    <row r="23" customFormat="false" ht="15" hidden="false" customHeight="false" outlineLevel="0" collapsed="false">
      <c r="A23" s="6" t="s">
        <v>16</v>
      </c>
      <c r="B23" s="6" t="s">
        <v>203</v>
      </c>
      <c r="C23" s="6" t="s">
        <v>204</v>
      </c>
      <c r="D23" s="6" t="s">
        <v>205</v>
      </c>
      <c r="E23" s="6" t="s">
        <v>206</v>
      </c>
      <c r="F23" s="6" t="s">
        <v>207</v>
      </c>
      <c r="G23" s="6" t="s">
        <v>208</v>
      </c>
      <c r="H23" s="6" t="s">
        <v>209</v>
      </c>
      <c r="I23" s="6" t="s">
        <v>210</v>
      </c>
      <c r="J23" s="6" t="s">
        <v>211</v>
      </c>
      <c r="K23" s="6" t="s">
        <v>212</v>
      </c>
      <c r="L23" s="6" t="s">
        <v>213</v>
      </c>
      <c r="M23" s="6" t="s">
        <v>214</v>
      </c>
    </row>
    <row r="24" customFormat="false" ht="15" hidden="false" customHeight="false" outlineLevel="0" collapsed="false">
      <c r="A24" s="38" t="s">
        <v>146</v>
      </c>
      <c r="B24" s="12" t="n">
        <f aca="false">SUMIF('All Seasons'!$B$2:$B$181,1,'All Seasons'!$P$2:$P$181)</f>
        <v>2</v>
      </c>
      <c r="C24" s="12" t="n">
        <f aca="false">SUMIF('All Seasons'!$B$2:$B$181,2,'All Seasons'!$P$2:$P$181)</f>
        <v>2</v>
      </c>
      <c r="D24" s="12" t="n">
        <f aca="false">SUMIF('All Seasons'!$B$2:$B$181,3,'All Seasons'!$P$2:$P$181)</f>
        <v>0</v>
      </c>
      <c r="E24" s="12" t="n">
        <f aca="false">SUMIF('All Seasons'!$B$2:$B$181,4,'All Seasons'!$P$2:$P$181)</f>
        <v>1</v>
      </c>
      <c r="F24" s="12" t="n">
        <f aca="false">SUMIF('All Seasons'!$B$2:$B$181,5,'All Seasons'!$P$2:$P$181)</f>
        <v>1</v>
      </c>
      <c r="G24" s="12" t="n">
        <f aca="false">SUMIF('All Seasons'!$B$2:$B$181,6,'All Seasons'!$P$2:$P$181)</f>
        <v>2</v>
      </c>
      <c r="H24" s="12" t="n">
        <f aca="false">SUMIF('All Seasons'!$B$2:$B$181,7,'All Seasons'!$P$2:$P$181)</f>
        <v>0</v>
      </c>
      <c r="I24" s="12" t="n">
        <f aca="false">SUMIF('All Seasons'!$B$2:$B$181,8,'All Seasons'!$P$2:$P$181)</f>
        <v>5</v>
      </c>
      <c r="J24" s="12" t="n">
        <f aca="false">SUMIF('All Seasons'!$B$2:$B$181,9,'All Seasons'!$P$2:$P$181)</f>
        <v>1</v>
      </c>
      <c r="K24" s="12" t="n">
        <f aca="false">SUMIF('All Seasons'!$B$2:$B$181,10,'All Seasons'!$P$2:$P$181)</f>
        <v>1</v>
      </c>
      <c r="L24" s="12" t="n">
        <f aca="false">SUMIF('All Seasons'!$B$2:$B$181,11,'All Seasons'!$P$2:$P$181)</f>
        <v>0</v>
      </c>
      <c r="M24" s="12" t="n">
        <f aca="false">SUMIF('All Seasons'!$B$2:$B$181,12,'All Seasons'!$P$2:$P$181)</f>
        <v>0</v>
      </c>
      <c r="N24" s="36"/>
      <c r="O24" s="36"/>
    </row>
    <row r="25" customFormat="false" ht="15" hidden="false" customHeight="false" outlineLevel="0" collapsed="false">
      <c r="A25" s="38" t="s">
        <v>215</v>
      </c>
      <c r="B25" s="12" t="n">
        <f aca="false">SUMIF('All Seasons'!$B$2:$B$181,1,'All Seasons'!$Q$2:$Q$181)</f>
        <v>4</v>
      </c>
      <c r="C25" s="12" t="n">
        <f aca="false">SUMIF('All Seasons'!$B$2:$B$181,2,'All Seasons'!$Q$2:$Q$181)</f>
        <v>4</v>
      </c>
      <c r="D25" s="12" t="n">
        <f aca="false">SUMIF('All Seasons'!$B$2:$B$181,3,'All Seasons'!$Q$2:$Q$181)</f>
        <v>3</v>
      </c>
      <c r="E25" s="12" t="n">
        <f aca="false">SUMIF('All Seasons'!$B$2:$B$181,4,'All Seasons'!$Q$2:$Q$181)</f>
        <v>1</v>
      </c>
      <c r="F25" s="12" t="n">
        <f aca="false">SUMIF('All Seasons'!$B$2:$B$181,5,'All Seasons'!$Q$2:$Q$181)</f>
        <v>2</v>
      </c>
      <c r="G25" s="12" t="n">
        <f aca="false">SUMIF('All Seasons'!$B$2:$B$181,6,'All Seasons'!$Q$2:$Q$181)</f>
        <v>2</v>
      </c>
      <c r="H25" s="12" t="n">
        <f aca="false">SUMIF('All Seasons'!$B$2:$B$181,7,'All Seasons'!$Q$2:$Q$181)</f>
        <v>0</v>
      </c>
      <c r="I25" s="12" t="n">
        <f aca="false">SUMIF('All Seasons'!$B$2:$B$181,8,'All Seasons'!$Q$2:$Q$181)</f>
        <v>5</v>
      </c>
      <c r="J25" s="12" t="n">
        <f aca="false">SUMIF('All Seasons'!$B$2:$B$181,9,'All Seasons'!$Q$2:$Q$181)</f>
        <v>2</v>
      </c>
      <c r="K25" s="12" t="n">
        <f aca="false">SUMIF('All Seasons'!$B$2:$B$181,10,'All Seasons'!$Q$2:$Q$181)</f>
        <v>5</v>
      </c>
      <c r="L25" s="12" t="n">
        <f aca="false">SUMIF('All Seasons'!$B$2:$B$181,11,'All Seasons'!$Q$2:$Q$181)</f>
        <v>1</v>
      </c>
      <c r="M25" s="12" t="n">
        <f aca="false">SUMIF('All Seasons'!$B$2:$B$181,12,'All Seasons'!$Q$2:$Q$181)</f>
        <v>1</v>
      </c>
      <c r="N25" s="36"/>
      <c r="O25" s="36"/>
    </row>
    <row r="26" customFormat="false" ht="15" hidden="false" customHeight="false" outlineLevel="0" collapsed="false">
      <c r="A26" s="38" t="s">
        <v>216</v>
      </c>
      <c r="B26" s="12" t="n">
        <f aca="false">SUMIF('All Seasons'!$B$2:$B$181,1,'All Seasons'!$R$2:$R$181)</f>
        <v>4</v>
      </c>
      <c r="C26" s="12" t="n">
        <f aca="false">SUMIF('All Seasons'!$B$2:$B$181,2,'All Seasons'!$R$2:$R$181)</f>
        <v>5</v>
      </c>
      <c r="D26" s="12" t="n">
        <f aca="false">SUMIF('All Seasons'!$B$2:$B$181,3,'All Seasons'!$R$2:$R$181)</f>
        <v>3</v>
      </c>
      <c r="E26" s="12" t="n">
        <f aca="false">SUMIF('All Seasons'!$B$2:$B$181,4,'All Seasons'!$R$2:$R$181)</f>
        <v>1</v>
      </c>
      <c r="F26" s="12" t="n">
        <f aca="false">SUMIF('All Seasons'!$B$2:$B$181,5,'All Seasons'!$R$2:$R$181)</f>
        <v>5</v>
      </c>
      <c r="G26" s="12" t="n">
        <f aca="false">SUMIF('All Seasons'!$B$2:$B$181,6,'All Seasons'!$R$2:$R$181)</f>
        <v>4</v>
      </c>
      <c r="H26" s="12" t="n">
        <f aca="false">SUMIF('All Seasons'!$B$2:$B$181,7,'All Seasons'!$R$2:$R$181)</f>
        <v>1</v>
      </c>
      <c r="I26" s="12" t="n">
        <f aca="false">SUMIF('All Seasons'!$B$2:$B$181,8,'All Seasons'!$R$2:$R$181)</f>
        <v>6</v>
      </c>
      <c r="J26" s="12" t="n">
        <f aca="false">SUMIF('All Seasons'!$B$2:$B$181,9,'All Seasons'!$R$2:$R$181)</f>
        <v>4</v>
      </c>
      <c r="K26" s="12" t="n">
        <f aca="false">SUMIF('All Seasons'!$B$2:$B$181,10,'All Seasons'!$R$2:$R$181)</f>
        <v>6</v>
      </c>
      <c r="L26" s="12" t="n">
        <f aca="false">SUMIF('All Seasons'!$B$2:$B$181,11,'All Seasons'!$R$2:$R$181)</f>
        <v>3</v>
      </c>
      <c r="M26" s="12" t="n">
        <f aca="false">SUMIF('All Seasons'!$B$2:$B$181,12,'All Seasons'!$R$2:$R$181)</f>
        <v>3</v>
      </c>
      <c r="N26" s="36"/>
      <c r="O26" s="36"/>
    </row>
    <row r="27" customFormat="false" ht="15" hidden="false" customHeight="false" outlineLevel="0" collapsed="false">
      <c r="A27" s="38" t="s">
        <v>217</v>
      </c>
      <c r="B27" s="12" t="n">
        <f aca="false">SUMIF('All Seasons'!$B$2:$B$181,1,'All Seasons'!$O$2:$O$181)</f>
        <v>6</v>
      </c>
      <c r="C27" s="12" t="n">
        <f aca="false">SUMIF('All Seasons'!$B$2:$B$181,2,'All Seasons'!$O$2:$O$181)</f>
        <v>6</v>
      </c>
      <c r="D27" s="12" t="n">
        <f aca="false">SUMIF('All Seasons'!$B$2:$B$181,3,'All Seasons'!$O$2:$O$181)</f>
        <v>11</v>
      </c>
      <c r="E27" s="12" t="n">
        <f aca="false">SUMIF('All Seasons'!$B$2:$B$181,4,'All Seasons'!$O$2:$O$181)</f>
        <v>9</v>
      </c>
      <c r="F27" s="12" t="n">
        <f aca="false">SUMIF('All Seasons'!$B$2:$B$181,5,'All Seasons'!$O$2:$O$181)</f>
        <v>10</v>
      </c>
      <c r="G27" s="12" t="n">
        <f aca="false">SUMIF('All Seasons'!$B$2:$B$181,6,'All Seasons'!$O$2:$O$181)</f>
        <v>5</v>
      </c>
      <c r="H27" s="12" t="n">
        <f aca="false">SUMIF('All Seasons'!$B$2:$B$181,7,'All Seasons'!$O$2:$O$181)</f>
        <v>2</v>
      </c>
      <c r="I27" s="12" t="n">
        <f aca="false">SUMIF('All Seasons'!$B$2:$B$181,8,'All Seasons'!$O$2:$O$181)</f>
        <v>7</v>
      </c>
      <c r="J27" s="12" t="n">
        <f aca="false">SUMIF('All Seasons'!$B$2:$B$181,9,'All Seasons'!$O$2:$O$181)</f>
        <v>11</v>
      </c>
      <c r="K27" s="12" t="n">
        <f aca="false">SUMIF('All Seasons'!$B$2:$B$181,10,'All Seasons'!$O$2:$O$181)</f>
        <v>7</v>
      </c>
      <c r="L27" s="12" t="n">
        <f aca="false">SUMIF('All Seasons'!$B$2:$B$181,11,'All Seasons'!$O$2:$O$181)</f>
        <v>8</v>
      </c>
      <c r="M27" s="12" t="n">
        <f aca="false">SUMIF('All Seasons'!$B$2:$B$181,12,'All Seasons'!$O$2:$O$181)</f>
        <v>8</v>
      </c>
      <c r="N27" s="36"/>
      <c r="O27" s="36"/>
    </row>
    <row r="29" customFormat="false" ht="15" hidden="false" customHeight="false" outlineLevel="0" collapsed="false">
      <c r="A29" s="39" t="s">
        <v>218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</row>
  </sheetData>
  <mergeCells count="1">
    <mergeCell ref="A29:M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2026-08-13T21:51:31Z</dcterms:created>
  <dc:creator>openpyxl</dc:creator>
  <dc:description/>
  <dc:language>en-US</dc:language>
  <cp:lastModifiedBy/>
  <dcterms:modified xsi:type="dcterms:W3CDTF">2026-08-13T21:51:31Z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